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cds01\Groups_CDA\Tra\@PCP_OP\39. CADSIP\1 - MAPA DE PRODUÇÃO\7 - JULHO\"/>
    </mc:Choice>
  </mc:AlternateContent>
  <bookViews>
    <workbookView xWindow="0" yWindow="0" windowWidth="20490" windowHeight="7620"/>
  </bookViews>
  <sheets>
    <sheet name="Programação" sheetId="1" r:id="rId1"/>
  </sheets>
  <externalReferences>
    <externalReference r:id="rId2"/>
  </externalReferences>
  <definedNames>
    <definedName name="_xlnm._FilterDatabase" localSheetId="0" hidden="1">Programação!$C$1:$S$1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A2" i="1"/>
</calcChain>
</file>

<file path=xl/sharedStrings.xml><?xml version="1.0" encoding="utf-8"?>
<sst xmlns="http://schemas.openxmlformats.org/spreadsheetml/2006/main" count="478" uniqueCount="109">
  <si>
    <t>Seq</t>
  </si>
  <si>
    <t>ChavDrog</t>
  </si>
  <si>
    <t>TURNO</t>
  </si>
  <si>
    <t>ROTA</t>
  </si>
  <si>
    <t>Missão</t>
  </si>
  <si>
    <t>LOJA</t>
  </si>
  <si>
    <t>T. VEÍC.</t>
  </si>
  <si>
    <t>GALPÃO</t>
  </si>
  <si>
    <t>T. CARGA</t>
  </si>
  <si>
    <t>DATA CARREGAMENTO</t>
  </si>
  <si>
    <t>HORA CARREGAMENTO</t>
  </si>
  <si>
    <t>M³</t>
  </si>
  <si>
    <t>CAIXAS</t>
  </si>
  <si>
    <t>PESO (Ton)</t>
  </si>
  <si>
    <t>TAXA DE OCUPAÇÃO</t>
  </si>
  <si>
    <t>% PESO</t>
  </si>
  <si>
    <t>DATA DE ENTREGA</t>
  </si>
  <si>
    <t>HORA DE ENTREGA</t>
  </si>
  <si>
    <t>OBSERVAÇÕES</t>
  </si>
  <si>
    <t>T1</t>
  </si>
  <si>
    <t>STS</t>
  </si>
  <si>
    <t>DROP</t>
  </si>
  <si>
    <t>G1</t>
  </si>
  <si>
    <t>EXTRA</t>
  </si>
  <si>
    <t>-</t>
  </si>
  <si>
    <t>T2</t>
  </si>
  <si>
    <t>SPP</t>
  </si>
  <si>
    <t>SAV</t>
  </si>
  <si>
    <t>ECJ</t>
  </si>
  <si>
    <t>CONJUNTO</t>
  </si>
  <si>
    <t>MELI - MERCADO LIVRE</t>
  </si>
  <si>
    <t>MPO</t>
  </si>
  <si>
    <t>VUC</t>
  </si>
  <si>
    <t>CONJ. CDA &amp; CDX</t>
  </si>
  <si>
    <t>MSD</t>
  </si>
  <si>
    <t>MPJ</t>
  </si>
  <si>
    <t>T3</t>
  </si>
  <si>
    <t>MCL</t>
  </si>
  <si>
    <t>MVO</t>
  </si>
  <si>
    <t>MHI</t>
  </si>
  <si>
    <t>MPE</t>
  </si>
  <si>
    <t>OSC</t>
  </si>
  <si>
    <t>EPL</t>
  </si>
  <si>
    <t>TRUCK EPL</t>
  </si>
  <si>
    <t>SPS</t>
  </si>
  <si>
    <t>CDD</t>
  </si>
  <si>
    <t>CONTAINER</t>
  </si>
  <si>
    <t>G2</t>
  </si>
  <si>
    <t>ITENS INCOPATIVEIS DE REMONTE</t>
  </si>
  <si>
    <t>TTE</t>
  </si>
  <si>
    <t>SBD</t>
  </si>
  <si>
    <t>TRUCK</t>
  </si>
  <si>
    <t>CGD</t>
  </si>
  <si>
    <t>G1L</t>
  </si>
  <si>
    <t>STA</t>
  </si>
  <si>
    <t>SPG</t>
  </si>
  <si>
    <t>SPI</t>
  </si>
  <si>
    <t>ERE</t>
  </si>
  <si>
    <t>BBT</t>
  </si>
  <si>
    <t>ECN</t>
  </si>
  <si>
    <t>SCS</t>
  </si>
  <si>
    <t>SBC</t>
  </si>
  <si>
    <t>RPS</t>
  </si>
  <si>
    <t>CRB</t>
  </si>
  <si>
    <t>RPN</t>
  </si>
  <si>
    <t>SPA</t>
  </si>
  <si>
    <t>VVS</t>
  </si>
  <si>
    <t>CSS</t>
  </si>
  <si>
    <t>PIR</t>
  </si>
  <si>
    <t>JFO</t>
  </si>
  <si>
    <t>BHC</t>
  </si>
  <si>
    <t>BHP</t>
  </si>
  <si>
    <t>BHA</t>
  </si>
  <si>
    <t>UBL</t>
  </si>
  <si>
    <t>SPO</t>
  </si>
  <si>
    <t>CPR</t>
  </si>
  <si>
    <t>SJC</t>
  </si>
  <si>
    <t>TAU</t>
  </si>
  <si>
    <t>PDT</t>
  </si>
  <si>
    <t>SPC</t>
  </si>
  <si>
    <t>SPB</t>
  </si>
  <si>
    <t>SPE</t>
  </si>
  <si>
    <t>BWL</t>
  </si>
  <si>
    <t>CDBR</t>
  </si>
  <si>
    <t>BATIDA</t>
  </si>
  <si>
    <t>JDI</t>
  </si>
  <si>
    <t>CPV</t>
  </si>
  <si>
    <t>TBE</t>
  </si>
  <si>
    <t>STO</t>
  </si>
  <si>
    <t>BOS</t>
  </si>
  <si>
    <t>SOR</t>
  </si>
  <si>
    <t>CDX</t>
  </si>
  <si>
    <t>TRANS_CDX</t>
  </si>
  <si>
    <t>LOJAS ( DROGARIAS )</t>
  </si>
  <si>
    <t>DSO</t>
  </si>
  <si>
    <t>DCN</t>
  </si>
  <si>
    <t>DPP</t>
  </si>
  <si>
    <t>DSS</t>
  </si>
  <si>
    <t>DRP</t>
  </si>
  <si>
    <t>DRN</t>
  </si>
  <si>
    <t>SAN</t>
  </si>
  <si>
    <t>Coluna1</t>
  </si>
  <si>
    <t>CDMR</t>
  </si>
  <si>
    <t>BATIDA REFRI</t>
  </si>
  <si>
    <t/>
  </si>
  <si>
    <t>CDPH</t>
  </si>
  <si>
    <t>BI-TREM</t>
  </si>
  <si>
    <t>CDPE</t>
  </si>
  <si>
    <t>AG. COMPLE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</si>
</sst>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400]h:mm:ss\ AM/PM"/>
    <numFmt numFmtId="165" formatCode="h:mm;@"/>
    <numFmt numFmtId="166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scheme val="minor"/>
    </font>
    <font>
      <b/>
      <sz val="9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wrapText="1"/>
    </xf>
    <xf numFmtId="0" fontId="3" fillId="2" borderId="0" xfId="0" applyFont="1" applyFill="1" applyBorder="1" applyAlignment="1">
      <alignment horizontal="center" vertical="center" wrapText="1"/>
    </xf>
    <xf numFmtId="49" fontId="3" fillId="2" borderId="0" xfId="0" applyNumberFormat="1" applyFont="1" applyFill="1" applyBorder="1" applyAlignment="1">
      <alignment horizontal="center" vertical="center" wrapText="1"/>
    </xf>
    <xf numFmtId="3" fontId="3" fillId="2" borderId="0" xfId="0" applyNumberFormat="1" applyFont="1" applyFill="1" applyBorder="1" applyAlignment="1">
      <alignment horizontal="center" vertical="center" wrapText="1"/>
    </xf>
    <xf numFmtId="3" fontId="3" fillId="2" borderId="0" xfId="0" applyNumberFormat="1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9" fontId="2" fillId="0" borderId="0" xfId="1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9" fontId="4" fillId="0" borderId="0" xfId="1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center"/>
    </xf>
    <xf numFmtId="3" fontId="5" fillId="2" borderId="0" xfId="0" applyNumberFormat="1" applyFont="1" applyFill="1" applyAlignment="1">
      <alignment horizontal="center" vertical="center" wrapText="1"/>
    </xf>
    <xf numFmtId="9" fontId="4" fillId="0" borderId="0" xfId="1" applyNumberFormat="1" applyFont="1" applyFill="1" applyAlignment="1">
      <alignment horizontal="center" vertical="center"/>
    </xf>
  </cellXfs>
  <cellStyles count="2">
    <cellStyle name="Normal" xfId="0" builtinId="0"/>
    <cellStyle name="Porcentagem" xfId="1" builtinId="5"/>
  </cellStyles>
  <dxfs count="25"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5" formatCode="h: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5" formatCode="h: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5" formatCode="hh: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minor"/>
      </font>
      <numFmt numFmtId="3" formatCode="#,##0"/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ra/@Ger.%20PCP/PROGRAMA&#199;&#195;O%20-%20CDA/Planejamento%202024/Planejamento%20atual/Programa&#231;&#227;o%20CDA%2002.08.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mulador_novo"/>
      <sheetName val="DROGARIAS"/>
      <sheetName val="Planner"/>
      <sheetName val="Conjugações DEDICADO"/>
      <sheetName val="Assertividade"/>
      <sheetName val="Programação"/>
      <sheetName val="Dinamica KPI"/>
      <sheetName val="Acompanhamento KPI"/>
      <sheetName val="Pedidos Gerais"/>
      <sheetName val="Monitoring"/>
      <sheetName val="Visão Separação"/>
      <sheetName val="Resumo"/>
      <sheetName val="Din Freq Loj"/>
      <sheetName val="Just BkLg"/>
      <sheetName val="Inventário"/>
    </sheetNames>
    <sheetDataSet>
      <sheetData sheetId="0"/>
      <sheetData sheetId="1"/>
      <sheetData sheetId="2">
        <row r="22">
          <cell r="M22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ables/table1.xml><?xml version="1.0" encoding="utf-8"?>
<table xmlns="http://schemas.openxmlformats.org/spreadsheetml/2006/main" id="1" name="Tabela1" displayName="Tabela1" ref="C1:U77" totalsRowShown="0" headerRowDxfId="24" dataDxfId="23">
  <sortState ref="C2:U78">
    <sortCondition ref="J2:J78"/>
    <sortCondition ref="K2:K78"/>
  </sortState>
  <tableColumns count="19">
    <tableColumn id="1" name="TURNO" dataDxfId="22"/>
    <tableColumn id="3" name="ROTA" dataDxfId="21"/>
    <tableColumn id="17" name="Missão" dataDxfId="20"/>
    <tableColumn id="4" name="LOJA" dataDxfId="19"/>
    <tableColumn id="5" name="T. VEÍC." dataDxfId="18"/>
    <tableColumn id="6" name="GALPÃO" dataDxfId="17"/>
    <tableColumn id="7" name="T. CARGA" dataDxfId="16"/>
    <tableColumn id="8" name="DATA CARREGAMENTO" dataDxfId="15"/>
    <tableColumn id="9" name="HORA CARREGAMENTO" dataDxfId="14"/>
    <tableColumn id="10" name="M³" dataDxfId="13"/>
    <tableColumn id="11" name="CAIXAS" dataDxfId="12"/>
    <tableColumn id="12" name="PESO (Ton)" dataDxfId="11"/>
    <tableColumn id="13" name="TAXA DE OCUPAÇÃO" dataDxfId="10" dataCellStyle="Porcentagem"/>
    <tableColumn id="19" name="% PESO" dataDxfId="9" dataCellStyle="Porcentagem"/>
    <tableColumn id="14" name="DATA DE ENTREGA" dataDxfId="8"/>
    <tableColumn id="15" name="HORA DE ENTREGA" dataDxfId="7"/>
    <tableColumn id="16" name="OBSERVAÇÕES" dataDxfId="6"/>
    <tableColumn id="2" name="LOJAS ( DROGARIAS )" dataDxfId="5"/>
    <tableColumn id="18" name="Coluna1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"/>
  <dimension ref="A1:U77"/>
  <sheetViews>
    <sheetView showGridLines="0" tabSelected="1" topLeftCell="C1" zoomScale="90" zoomScaleNormal="90" workbookViewId="0">
      <selection activeCell="C2" sqref="C2"/>
    </sheetView>
  </sheetViews>
  <sheetFormatPr defaultRowHeight="15" x14ac:dyDescent="0.25"/>
  <cols>
    <col min="1" max="2" width="9.42578125" style="6" hidden="1" customWidth="1"/>
    <col min="3" max="8" width="8.7109375" style="6" customWidth="1"/>
    <col min="9" max="9" width="9.42578125" style="6" customWidth="1"/>
    <col min="10" max="10" width="15.28515625" style="6" customWidth="1"/>
    <col min="11" max="11" width="20" style="6" customWidth="1"/>
    <col min="12" max="12" width="20.140625" style="6" customWidth="1"/>
    <col min="13" max="14" width="8.7109375" style="6" customWidth="1"/>
    <col min="15" max="15" width="10.85546875" style="6" customWidth="1"/>
    <col min="16" max="16" width="8.7109375" style="6" customWidth="1"/>
    <col min="17" max="17" width="16.5703125" style="6" customWidth="1"/>
    <col min="18" max="18" width="16.7109375" style="6" customWidth="1"/>
    <col min="19" max="19" width="38.42578125" style="16" bestFit="1" customWidth="1"/>
    <col min="20" max="20" width="17.85546875" style="6" customWidth="1"/>
    <col min="22" max="16384" width="9.140625" style="6"/>
  </cols>
  <sheetData>
    <row r="1" spans="1:21" s="1" customFormat="1" ht="30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2" t="s">
        <v>18</v>
      </c>
      <c r="T1" s="5" t="s">
        <v>93</v>
      </c>
      <c r="U1" s="26" t="s">
        <v>101</v>
      </c>
    </row>
    <row r="2" spans="1:21" ht="12" x14ac:dyDescent="0.2">
      <c r="A2" s="6" t="str">
        <f>CONCATENATE(RIGHT(Tabela1[[#This Row],[ROTA]],4)&amp;[1]Planner!M22)</f>
        <v>17491</v>
      </c>
      <c r="B2" s="6" t="str">
        <f>Tabela1[LOJA]&amp;Tabela1[HORA CARREGAMENTO]</f>
        <v>ECJ0,708333333333333</v>
      </c>
      <c r="C2" s="7" t="s">
        <v>25</v>
      </c>
      <c r="D2" s="8">
        <v>1749</v>
      </c>
      <c r="E2" s="8">
        <v>10161749</v>
      </c>
      <c r="F2" s="9" t="s">
        <v>28</v>
      </c>
      <c r="G2" s="7" t="s">
        <v>29</v>
      </c>
      <c r="H2" s="7" t="s">
        <v>22</v>
      </c>
      <c r="I2" s="7" t="s">
        <v>24</v>
      </c>
      <c r="J2" s="10">
        <v>45506</v>
      </c>
      <c r="K2" s="11">
        <v>0.70833333333333337</v>
      </c>
      <c r="L2" s="12">
        <v>41.049858000000008</v>
      </c>
      <c r="M2" s="13">
        <v>2046</v>
      </c>
      <c r="N2" s="12">
        <v>23.332241999999997</v>
      </c>
      <c r="O2" s="14">
        <v>0.83775220408163276</v>
      </c>
      <c r="P2" s="14">
        <v>0.97217674999999992</v>
      </c>
      <c r="Q2" s="10">
        <v>45507.791666666664</v>
      </c>
      <c r="R2" s="11">
        <v>0.79166666666666663</v>
      </c>
      <c r="S2" s="15" t="s">
        <v>30</v>
      </c>
      <c r="T2" s="7"/>
      <c r="U2" s="17"/>
    </row>
    <row r="3" spans="1:21" ht="12" x14ac:dyDescent="0.2">
      <c r="C3" s="7" t="s">
        <v>25</v>
      </c>
      <c r="D3" s="8">
        <v>357</v>
      </c>
      <c r="E3" s="8">
        <v>10161809</v>
      </c>
      <c r="F3" s="9" t="s">
        <v>41</v>
      </c>
      <c r="G3" s="7" t="s">
        <v>21</v>
      </c>
      <c r="H3" s="7" t="s">
        <v>22</v>
      </c>
      <c r="I3" s="7" t="s">
        <v>24</v>
      </c>
      <c r="J3" s="10">
        <v>45506</v>
      </c>
      <c r="K3" s="11">
        <v>0.70833333333333337</v>
      </c>
      <c r="L3" s="12">
        <v>49.615157500000002</v>
      </c>
      <c r="M3" s="13">
        <v>467.91666666666669</v>
      </c>
      <c r="N3" s="12">
        <v>4.5303920000000009</v>
      </c>
      <c r="O3" s="14">
        <v>1.0125542346938776</v>
      </c>
      <c r="P3" s="14">
        <v>0.18876633333333337</v>
      </c>
      <c r="Q3" s="10">
        <v>45506.875</v>
      </c>
      <c r="R3" s="11">
        <v>0.875</v>
      </c>
      <c r="S3" s="15" t="s">
        <v>24</v>
      </c>
      <c r="T3" s="7"/>
      <c r="U3" s="17"/>
    </row>
    <row r="4" spans="1:21" ht="12" x14ac:dyDescent="0.2">
      <c r="C4" s="7" t="s">
        <v>25</v>
      </c>
      <c r="D4" s="8">
        <v>328</v>
      </c>
      <c r="E4" s="8">
        <v>10161781</v>
      </c>
      <c r="F4" s="9" t="s">
        <v>89</v>
      </c>
      <c r="G4" s="7" t="s">
        <v>21</v>
      </c>
      <c r="H4" s="7" t="s">
        <v>22</v>
      </c>
      <c r="I4" s="7" t="s">
        <v>24</v>
      </c>
      <c r="J4" s="10">
        <v>45506</v>
      </c>
      <c r="K4" s="11">
        <v>0.70833333333333337</v>
      </c>
      <c r="L4" s="12">
        <v>49.346018316666672</v>
      </c>
      <c r="M4" s="13">
        <v>1853.6388888888889</v>
      </c>
      <c r="N4" s="12">
        <v>15.522006333333332</v>
      </c>
      <c r="O4" s="14">
        <v>1.0070615982993198</v>
      </c>
      <c r="P4" s="14">
        <v>0.64675026388888879</v>
      </c>
      <c r="Q4" s="10">
        <v>45506.875</v>
      </c>
      <c r="R4" s="11">
        <v>0.875</v>
      </c>
      <c r="S4" s="15" t="s">
        <v>24</v>
      </c>
      <c r="T4" s="7"/>
      <c r="U4" s="17"/>
    </row>
    <row r="5" spans="1:21" ht="12" x14ac:dyDescent="0.2">
      <c r="C5" s="7" t="s">
        <v>25</v>
      </c>
      <c r="D5" s="8">
        <v>326</v>
      </c>
      <c r="E5" s="8">
        <v>10161779</v>
      </c>
      <c r="F5" s="9" t="s">
        <v>91</v>
      </c>
      <c r="G5" s="7" t="s">
        <v>92</v>
      </c>
      <c r="H5" s="7" t="s">
        <v>22</v>
      </c>
      <c r="I5" s="7" t="s">
        <v>24</v>
      </c>
      <c r="J5" s="10">
        <v>45506</v>
      </c>
      <c r="K5" s="11">
        <v>0.70833333333333337</v>
      </c>
      <c r="L5" s="12">
        <v>29.830414000000008</v>
      </c>
      <c r="M5" s="13">
        <v>1976</v>
      </c>
      <c r="N5" s="12">
        <v>12.623701000000001</v>
      </c>
      <c r="O5" s="14">
        <v>2.1307438571428579</v>
      </c>
      <c r="P5" s="14">
        <v>1.4026334444444446</v>
      </c>
      <c r="Q5" s="10">
        <v>45506.791666666664</v>
      </c>
      <c r="R5" s="11">
        <v>0.79166666666666663</v>
      </c>
      <c r="S5" s="15" t="s">
        <v>24</v>
      </c>
      <c r="T5" s="7"/>
      <c r="U5" s="17"/>
    </row>
    <row r="6" spans="1:21" ht="12" x14ac:dyDescent="0.2">
      <c r="C6" s="7" t="s">
        <v>25</v>
      </c>
      <c r="D6" s="8">
        <v>332</v>
      </c>
      <c r="E6" s="8">
        <v>10161784</v>
      </c>
      <c r="F6" s="9" t="s">
        <v>54</v>
      </c>
      <c r="G6" s="7" t="s">
        <v>29</v>
      </c>
      <c r="H6" s="7" t="s">
        <v>22</v>
      </c>
      <c r="I6" s="7" t="s">
        <v>24</v>
      </c>
      <c r="J6" s="10">
        <v>45506</v>
      </c>
      <c r="K6" s="11">
        <v>0.75</v>
      </c>
      <c r="L6" s="12">
        <v>49.023966000000016</v>
      </c>
      <c r="M6" s="13">
        <v>1034.6666666666665</v>
      </c>
      <c r="N6" s="12">
        <v>7.9575126666666671</v>
      </c>
      <c r="O6" s="14">
        <v>1.0004891020408166</v>
      </c>
      <c r="P6" s="14">
        <v>0.3315630277777778</v>
      </c>
      <c r="Q6" s="10">
        <v>45506.958333333336</v>
      </c>
      <c r="R6" s="11">
        <v>0.95833333333333337</v>
      </c>
      <c r="S6" s="15" t="s">
        <v>24</v>
      </c>
      <c r="T6" s="7"/>
      <c r="U6" s="17"/>
    </row>
    <row r="7" spans="1:21" ht="12" x14ac:dyDescent="0.2">
      <c r="C7" s="7" t="s">
        <v>25</v>
      </c>
      <c r="D7" s="8">
        <v>323</v>
      </c>
      <c r="E7" s="8">
        <v>10161777</v>
      </c>
      <c r="F7" s="9" t="s">
        <v>57</v>
      </c>
      <c r="G7" s="7" t="s">
        <v>51</v>
      </c>
      <c r="H7" s="7" t="s">
        <v>22</v>
      </c>
      <c r="I7" s="7" t="s">
        <v>24</v>
      </c>
      <c r="J7" s="10">
        <v>45506</v>
      </c>
      <c r="K7" s="11">
        <v>0.75</v>
      </c>
      <c r="L7" s="12">
        <v>25.621513833333331</v>
      </c>
      <c r="M7" s="13">
        <v>1224.5555555555557</v>
      </c>
      <c r="N7" s="12">
        <v>5.5789308888888893</v>
      </c>
      <c r="O7" s="14">
        <v>0.9854428397435897</v>
      </c>
      <c r="P7" s="14">
        <v>0.44631447111111117</v>
      </c>
      <c r="Q7" s="10">
        <v>45506.916666666664</v>
      </c>
      <c r="R7" s="11">
        <v>0.91666666666666663</v>
      </c>
      <c r="S7" s="15" t="s">
        <v>24</v>
      </c>
      <c r="T7" s="7"/>
      <c r="U7" s="17"/>
    </row>
    <row r="8" spans="1:21" ht="12" x14ac:dyDescent="0.2">
      <c r="C8" s="7" t="s">
        <v>25</v>
      </c>
      <c r="D8" s="8">
        <v>371</v>
      </c>
      <c r="E8" s="8">
        <v>10161823</v>
      </c>
      <c r="F8" s="9" t="s">
        <v>57</v>
      </c>
      <c r="G8" s="7" t="s">
        <v>51</v>
      </c>
      <c r="H8" s="7" t="s">
        <v>22</v>
      </c>
      <c r="I8" s="7" t="s">
        <v>23</v>
      </c>
      <c r="J8" s="10">
        <v>45506</v>
      </c>
      <c r="K8" s="11">
        <v>0.79166666666666663</v>
      </c>
      <c r="L8" s="12">
        <v>23.545205999999997</v>
      </c>
      <c r="M8" s="13">
        <v>731</v>
      </c>
      <c r="N8" s="12">
        <v>4.7268119999999998</v>
      </c>
      <c r="O8" s="14">
        <v>0.90558484615384605</v>
      </c>
      <c r="P8" s="14">
        <v>0.37814495999999997</v>
      </c>
      <c r="Q8" s="10">
        <v>45506.958333333336</v>
      </c>
      <c r="R8" s="11">
        <v>0.95833333333333337</v>
      </c>
      <c r="S8" s="15" t="s">
        <v>24</v>
      </c>
      <c r="T8" s="7"/>
      <c r="U8" s="17"/>
    </row>
    <row r="9" spans="1:21" ht="12" x14ac:dyDescent="0.2">
      <c r="C9" s="7" t="s">
        <v>25</v>
      </c>
      <c r="D9" s="8">
        <v>331</v>
      </c>
      <c r="E9" s="8">
        <v>10161783</v>
      </c>
      <c r="F9" s="9" t="s">
        <v>88</v>
      </c>
      <c r="G9" s="7" t="s">
        <v>29</v>
      </c>
      <c r="H9" s="7" t="s">
        <v>22</v>
      </c>
      <c r="I9" s="7" t="s">
        <v>24</v>
      </c>
      <c r="J9" s="10">
        <v>45506</v>
      </c>
      <c r="K9" s="11">
        <v>0.79166666666666663</v>
      </c>
      <c r="L9" s="12">
        <v>43.143388000000037</v>
      </c>
      <c r="M9" s="13">
        <v>155</v>
      </c>
      <c r="N9" s="12">
        <v>3.3986600000000005</v>
      </c>
      <c r="O9" s="14">
        <v>0.88047730612244979</v>
      </c>
      <c r="P9" s="14">
        <v>0.14161083333333335</v>
      </c>
      <c r="Q9" s="10">
        <v>45507</v>
      </c>
      <c r="R9" s="11">
        <v>0</v>
      </c>
      <c r="S9" s="15" t="s">
        <v>24</v>
      </c>
      <c r="T9" s="7"/>
      <c r="U9" s="17"/>
    </row>
    <row r="10" spans="1:21" ht="12" x14ac:dyDescent="0.2">
      <c r="C10" s="7" t="s">
        <v>25</v>
      </c>
      <c r="D10" s="8">
        <v>329</v>
      </c>
      <c r="E10" s="8">
        <v>10161782</v>
      </c>
      <c r="F10" s="9" t="s">
        <v>55</v>
      </c>
      <c r="G10" s="7" t="s">
        <v>21</v>
      </c>
      <c r="H10" s="7" t="s">
        <v>22</v>
      </c>
      <c r="I10" s="7" t="s">
        <v>24</v>
      </c>
      <c r="J10" s="10">
        <v>45506</v>
      </c>
      <c r="K10" s="11">
        <v>0.79166666666666663</v>
      </c>
      <c r="L10" s="12">
        <v>32.786142000000005</v>
      </c>
      <c r="M10" s="13">
        <v>1879.4999999999998</v>
      </c>
      <c r="N10" s="12">
        <v>16.919662666666664</v>
      </c>
      <c r="O10" s="14">
        <v>0.66910493877551036</v>
      </c>
      <c r="P10" s="14">
        <v>0.70498594444444429</v>
      </c>
      <c r="Q10" s="10">
        <v>45506.958333333336</v>
      </c>
      <c r="R10" s="11">
        <v>0.95833333333333337</v>
      </c>
      <c r="S10" s="15" t="s">
        <v>24</v>
      </c>
      <c r="T10" s="7"/>
      <c r="U10" s="17"/>
    </row>
    <row r="11" spans="1:21" ht="12" x14ac:dyDescent="0.2">
      <c r="C11" s="7" t="s">
        <v>25</v>
      </c>
      <c r="D11" s="8">
        <v>325</v>
      </c>
      <c r="E11" s="8">
        <v>10161778</v>
      </c>
      <c r="F11" s="9" t="s">
        <v>56</v>
      </c>
      <c r="G11" s="7" t="s">
        <v>21</v>
      </c>
      <c r="H11" s="7" t="s">
        <v>22</v>
      </c>
      <c r="I11" s="7" t="s">
        <v>24</v>
      </c>
      <c r="J11" s="10">
        <v>45506</v>
      </c>
      <c r="K11" s="11">
        <v>0.79166666666666663</v>
      </c>
      <c r="L11" s="12">
        <v>49.076517250000002</v>
      </c>
      <c r="M11" s="13">
        <v>797</v>
      </c>
      <c r="N11" s="12">
        <v>6.5781039999999997</v>
      </c>
      <c r="O11" s="14">
        <v>1.0015615765306123</v>
      </c>
      <c r="P11" s="14">
        <v>0.27408766666666667</v>
      </c>
      <c r="Q11" s="10">
        <v>45506.958333333336</v>
      </c>
      <c r="R11" s="11">
        <v>0.95833333333333337</v>
      </c>
      <c r="S11" s="15" t="s">
        <v>24</v>
      </c>
      <c r="T11" s="7"/>
      <c r="U11" s="17"/>
    </row>
    <row r="12" spans="1:21" ht="12" x14ac:dyDescent="0.2">
      <c r="C12" s="7" t="s">
        <v>25</v>
      </c>
      <c r="D12" s="8">
        <v>1772</v>
      </c>
      <c r="E12" s="8">
        <v>10161772</v>
      </c>
      <c r="F12" s="9" t="s">
        <v>26</v>
      </c>
      <c r="G12" s="7" t="s">
        <v>21</v>
      </c>
      <c r="H12" s="7" t="s">
        <v>22</v>
      </c>
      <c r="I12" s="7" t="s">
        <v>24</v>
      </c>
      <c r="J12" s="10">
        <v>45506</v>
      </c>
      <c r="K12" s="11">
        <v>0.83333333333333337</v>
      </c>
      <c r="L12" s="12">
        <v>49</v>
      </c>
      <c r="M12" s="13">
        <v>2246.416666666667</v>
      </c>
      <c r="N12" s="12">
        <v>21.217830333333339</v>
      </c>
      <c r="O12" s="14">
        <v>1</v>
      </c>
      <c r="P12" s="14">
        <v>0.88407626388888916</v>
      </c>
      <c r="Q12" s="10">
        <v>45507</v>
      </c>
      <c r="R12" s="11">
        <v>0</v>
      </c>
      <c r="S12" s="15" t="s">
        <v>24</v>
      </c>
      <c r="T12" s="7"/>
      <c r="U12" s="17"/>
    </row>
    <row r="13" spans="1:21" ht="12" x14ac:dyDescent="0.2">
      <c r="C13" s="7" t="s">
        <v>25</v>
      </c>
      <c r="D13" s="8">
        <v>1771</v>
      </c>
      <c r="E13" s="8">
        <v>10161771</v>
      </c>
      <c r="F13" s="9" t="s">
        <v>27</v>
      </c>
      <c r="G13" s="7" t="s">
        <v>21</v>
      </c>
      <c r="H13" s="7" t="s">
        <v>22</v>
      </c>
      <c r="I13" s="7" t="s">
        <v>24</v>
      </c>
      <c r="J13" s="10">
        <v>45506</v>
      </c>
      <c r="K13" s="11">
        <v>0.83333333333333337</v>
      </c>
      <c r="L13" s="12">
        <v>48.424281999999984</v>
      </c>
      <c r="M13" s="13">
        <v>1958.4166666666665</v>
      </c>
      <c r="N13" s="12">
        <v>10.302432333333336</v>
      </c>
      <c r="O13" s="14">
        <v>0.98825065306122417</v>
      </c>
      <c r="P13" s="14">
        <v>0.42926801388888897</v>
      </c>
      <c r="Q13" s="10">
        <v>45507.333333333336</v>
      </c>
      <c r="R13" s="11">
        <v>0.33333333333333331</v>
      </c>
      <c r="S13" s="15" t="s">
        <v>24</v>
      </c>
      <c r="T13" s="7"/>
      <c r="U13" s="17"/>
    </row>
    <row r="14" spans="1:21" ht="12" x14ac:dyDescent="0.2">
      <c r="C14" s="7" t="s">
        <v>25</v>
      </c>
      <c r="D14" s="8">
        <v>374</v>
      </c>
      <c r="E14" s="8">
        <v>10161826</v>
      </c>
      <c r="F14" s="9" t="s">
        <v>54</v>
      </c>
      <c r="G14" s="7" t="s">
        <v>29</v>
      </c>
      <c r="H14" s="7" t="s">
        <v>22</v>
      </c>
      <c r="I14" s="7" t="s">
        <v>23</v>
      </c>
      <c r="J14" s="10">
        <v>45506</v>
      </c>
      <c r="K14" s="11">
        <v>0.83333333333333337</v>
      </c>
      <c r="L14" s="12">
        <v>48.764671399999997</v>
      </c>
      <c r="M14" s="13">
        <v>1138</v>
      </c>
      <c r="N14" s="12">
        <v>8.7138869999999979</v>
      </c>
      <c r="O14" s="14">
        <v>0.99519737551020404</v>
      </c>
      <c r="P14" s="14">
        <v>0.36307862499999993</v>
      </c>
      <c r="Q14" s="10">
        <v>45507.041666666664</v>
      </c>
      <c r="R14" s="11">
        <v>4.1666666666666664E-2</v>
      </c>
      <c r="S14" s="15" t="s">
        <v>24</v>
      </c>
      <c r="T14" s="7"/>
      <c r="U14" s="17"/>
    </row>
    <row r="15" spans="1:21" ht="12" x14ac:dyDescent="0.2">
      <c r="C15" s="7" t="s">
        <v>25</v>
      </c>
      <c r="D15" s="8">
        <v>381</v>
      </c>
      <c r="E15" s="8">
        <v>10161833</v>
      </c>
      <c r="F15" s="9" t="s">
        <v>41</v>
      </c>
      <c r="G15" s="7" t="s">
        <v>21</v>
      </c>
      <c r="H15" s="7" t="s">
        <v>22</v>
      </c>
      <c r="I15" s="7" t="s">
        <v>24</v>
      </c>
      <c r="J15" s="10">
        <v>45506</v>
      </c>
      <c r="K15" s="11">
        <v>0.875</v>
      </c>
      <c r="L15" s="12">
        <v>48.67207040000001</v>
      </c>
      <c r="M15" s="13">
        <v>1177</v>
      </c>
      <c r="N15" s="12">
        <v>10.280291999999999</v>
      </c>
      <c r="O15" s="14">
        <v>0.99330755918367364</v>
      </c>
      <c r="P15" s="14">
        <v>0.42834549999999999</v>
      </c>
      <c r="Q15" s="10">
        <v>45507.25</v>
      </c>
      <c r="R15" s="11">
        <v>0.25</v>
      </c>
      <c r="S15" s="15" t="s">
        <v>24</v>
      </c>
      <c r="T15" s="7"/>
      <c r="U15" s="17"/>
    </row>
    <row r="16" spans="1:21" ht="12" x14ac:dyDescent="0.2">
      <c r="C16" s="7" t="s">
        <v>25</v>
      </c>
      <c r="D16" s="8">
        <v>373</v>
      </c>
      <c r="E16" s="8">
        <v>10161825</v>
      </c>
      <c r="F16" s="9" t="s">
        <v>55</v>
      </c>
      <c r="G16" s="7" t="s">
        <v>21</v>
      </c>
      <c r="H16" s="7" t="s">
        <v>22</v>
      </c>
      <c r="I16" s="7" t="s">
        <v>24</v>
      </c>
      <c r="J16" s="10">
        <v>45506</v>
      </c>
      <c r="K16" s="11">
        <v>0.875</v>
      </c>
      <c r="L16" s="12">
        <v>51.216909800000003</v>
      </c>
      <c r="M16" s="13">
        <v>945</v>
      </c>
      <c r="N16" s="12">
        <v>4.876754</v>
      </c>
      <c r="O16" s="14">
        <v>1.0452430571428573</v>
      </c>
      <c r="P16" s="14">
        <v>0.20319808333333333</v>
      </c>
      <c r="Q16" s="10">
        <v>45507.083333333336</v>
      </c>
      <c r="R16" s="11">
        <v>8.3333333333333329E-2</v>
      </c>
      <c r="S16" s="15" t="s">
        <v>24</v>
      </c>
      <c r="T16" s="7"/>
      <c r="U16" s="17"/>
    </row>
    <row r="17" spans="3:21" ht="12" x14ac:dyDescent="0.2">
      <c r="C17" s="7" t="s">
        <v>25</v>
      </c>
      <c r="D17" s="8">
        <v>372</v>
      </c>
      <c r="E17" s="8">
        <v>10161824</v>
      </c>
      <c r="F17" s="9" t="s">
        <v>56</v>
      </c>
      <c r="G17" s="7" t="s">
        <v>21</v>
      </c>
      <c r="H17" s="7" t="s">
        <v>22</v>
      </c>
      <c r="I17" s="7" t="s">
        <v>23</v>
      </c>
      <c r="J17" s="10">
        <v>45506</v>
      </c>
      <c r="K17" s="11">
        <v>0.875</v>
      </c>
      <c r="L17" s="12">
        <v>49.336989599999988</v>
      </c>
      <c r="M17" s="13">
        <v>1455</v>
      </c>
      <c r="N17" s="12">
        <v>8.010943000000001</v>
      </c>
      <c r="O17" s="14">
        <v>1.0068773387755099</v>
      </c>
      <c r="P17" s="14">
        <v>0.33378929166666671</v>
      </c>
      <c r="Q17" s="10">
        <v>45507.083333333336</v>
      </c>
      <c r="R17" s="11">
        <v>8.3333333333333329E-2</v>
      </c>
      <c r="S17" s="15" t="s">
        <v>24</v>
      </c>
      <c r="T17" s="7"/>
      <c r="U17" s="17"/>
    </row>
    <row r="18" spans="3:21" ht="12" x14ac:dyDescent="0.2">
      <c r="C18" s="7" t="s">
        <v>25</v>
      </c>
      <c r="D18" s="8">
        <v>350</v>
      </c>
      <c r="E18" s="8">
        <v>10161802</v>
      </c>
      <c r="F18" s="9" t="s">
        <v>74</v>
      </c>
      <c r="G18" s="7" t="s">
        <v>21</v>
      </c>
      <c r="H18" s="7" t="s">
        <v>22</v>
      </c>
      <c r="I18" s="7" t="s">
        <v>24</v>
      </c>
      <c r="J18" s="10">
        <v>45506</v>
      </c>
      <c r="K18" s="11">
        <v>0.875</v>
      </c>
      <c r="L18" s="12">
        <v>50.021737000000009</v>
      </c>
      <c r="M18" s="13">
        <v>1511.0833333333333</v>
      </c>
      <c r="N18" s="12">
        <v>8.8604890000000012</v>
      </c>
      <c r="O18" s="14">
        <v>1.0208517755102042</v>
      </c>
      <c r="P18" s="14">
        <v>0.36918704166666672</v>
      </c>
      <c r="Q18" s="10">
        <v>45507.25</v>
      </c>
      <c r="R18" s="11">
        <v>0.25</v>
      </c>
      <c r="S18" s="15" t="s">
        <v>24</v>
      </c>
      <c r="T18" s="7"/>
      <c r="U18" s="17"/>
    </row>
    <row r="19" spans="3:21" ht="12" x14ac:dyDescent="0.2">
      <c r="C19" s="7" t="s">
        <v>36</v>
      </c>
      <c r="D19" s="8">
        <v>334</v>
      </c>
      <c r="E19" s="8">
        <v>10161786</v>
      </c>
      <c r="F19" s="9" t="s">
        <v>87</v>
      </c>
      <c r="G19" s="7" t="s">
        <v>21</v>
      </c>
      <c r="H19" s="7" t="s">
        <v>22</v>
      </c>
      <c r="I19" s="7" t="s">
        <v>24</v>
      </c>
      <c r="J19" s="10">
        <v>45506</v>
      </c>
      <c r="K19" s="11">
        <v>0.95833333333333337</v>
      </c>
      <c r="L19" s="12">
        <v>49.205724399999994</v>
      </c>
      <c r="M19" s="13">
        <v>1855.5</v>
      </c>
      <c r="N19" s="12">
        <v>11.082038999999996</v>
      </c>
      <c r="O19" s="14">
        <v>1.004198457142857</v>
      </c>
      <c r="P19" s="14">
        <v>0.46175162499999983</v>
      </c>
      <c r="Q19" s="10">
        <v>45507.333333333336</v>
      </c>
      <c r="R19" s="11">
        <v>0.33333333333333331</v>
      </c>
      <c r="S19" s="15" t="s">
        <v>24</v>
      </c>
      <c r="T19" s="7"/>
      <c r="U19" s="17"/>
    </row>
    <row r="20" spans="3:21" ht="12" x14ac:dyDescent="0.2">
      <c r="C20" s="7" t="s">
        <v>36</v>
      </c>
      <c r="D20" s="8">
        <v>327</v>
      </c>
      <c r="E20" s="8">
        <v>10161780</v>
      </c>
      <c r="F20" s="9" t="s">
        <v>90</v>
      </c>
      <c r="G20" s="7" t="s">
        <v>29</v>
      </c>
      <c r="H20" s="7" t="s">
        <v>22</v>
      </c>
      <c r="I20" s="7" t="s">
        <v>24</v>
      </c>
      <c r="J20" s="10">
        <v>45506</v>
      </c>
      <c r="K20" s="11">
        <v>0.95833333333333337</v>
      </c>
      <c r="L20" s="12">
        <v>39.416685999999991</v>
      </c>
      <c r="M20" s="13">
        <v>1630.75</v>
      </c>
      <c r="N20" s="12">
        <v>8.5169740000000012</v>
      </c>
      <c r="O20" s="14">
        <v>0.80442216326530591</v>
      </c>
      <c r="P20" s="14">
        <v>0.35487391666666673</v>
      </c>
      <c r="Q20" s="10">
        <v>45507.333333333336</v>
      </c>
      <c r="R20" s="11">
        <v>0.33333333333333331</v>
      </c>
      <c r="S20" s="15" t="s">
        <v>24</v>
      </c>
      <c r="T20" s="7" t="s">
        <v>94</v>
      </c>
      <c r="U20" s="17"/>
    </row>
    <row r="21" spans="3:21" ht="12" x14ac:dyDescent="0.2">
      <c r="C21" s="17" t="s">
        <v>36</v>
      </c>
      <c r="D21" s="18">
        <v>1851</v>
      </c>
      <c r="E21" s="18">
        <v>10161851</v>
      </c>
      <c r="F21" s="19" t="s">
        <v>100</v>
      </c>
      <c r="G21" s="17" t="s">
        <v>29</v>
      </c>
      <c r="H21" s="17" t="s">
        <v>22</v>
      </c>
      <c r="I21" s="17" t="s">
        <v>24</v>
      </c>
      <c r="J21" s="20">
        <v>45506</v>
      </c>
      <c r="K21" s="21">
        <v>0.95833333333333337</v>
      </c>
      <c r="L21" s="22">
        <v>16.034415666666668</v>
      </c>
      <c r="M21" s="23">
        <v>602.83333333333326</v>
      </c>
      <c r="N21" s="22">
        <v>5.050020833333333</v>
      </c>
      <c r="O21" s="24">
        <v>0.32723297278911567</v>
      </c>
      <c r="P21" s="24">
        <v>0.21041753472222222</v>
      </c>
      <c r="Q21" s="20">
        <v>45507.333333333336</v>
      </c>
      <c r="R21" s="21">
        <v>0.33333333333333331</v>
      </c>
      <c r="S21" s="25" t="s">
        <v>108</v>
      </c>
      <c r="T21" s="25"/>
      <c r="U21" s="17"/>
    </row>
    <row r="22" spans="3:21" ht="12" x14ac:dyDescent="0.2">
      <c r="C22" s="7" t="s">
        <v>36</v>
      </c>
      <c r="D22" s="8">
        <v>343</v>
      </c>
      <c r="E22" s="8">
        <v>10161795</v>
      </c>
      <c r="F22" s="9" t="s">
        <v>79</v>
      </c>
      <c r="G22" s="7" t="s">
        <v>21</v>
      </c>
      <c r="H22" s="7" t="s">
        <v>22</v>
      </c>
      <c r="I22" s="7" t="s">
        <v>24</v>
      </c>
      <c r="J22" s="10">
        <v>45507</v>
      </c>
      <c r="K22" s="11">
        <v>0</v>
      </c>
      <c r="L22" s="12">
        <v>50.137985633333329</v>
      </c>
      <c r="M22" s="13">
        <v>1648.9722222222222</v>
      </c>
      <c r="N22" s="12">
        <v>11.847554888888888</v>
      </c>
      <c r="O22" s="14">
        <v>1.0232241965986393</v>
      </c>
      <c r="P22" s="14">
        <v>0.49364812037037037</v>
      </c>
      <c r="Q22" s="10">
        <v>45507.375</v>
      </c>
      <c r="R22" s="11">
        <v>0.375</v>
      </c>
      <c r="S22" s="15" t="s">
        <v>24</v>
      </c>
      <c r="T22" s="7"/>
      <c r="U22" s="17"/>
    </row>
    <row r="23" spans="3:21" ht="12" x14ac:dyDescent="0.2">
      <c r="C23" s="7" t="s">
        <v>36</v>
      </c>
      <c r="D23" s="8">
        <v>356</v>
      </c>
      <c r="E23" s="8">
        <v>10161808</v>
      </c>
      <c r="F23" s="9" t="s">
        <v>69</v>
      </c>
      <c r="G23" s="7" t="s">
        <v>29</v>
      </c>
      <c r="H23" s="7" t="s">
        <v>47</v>
      </c>
      <c r="I23" s="7" t="s">
        <v>24</v>
      </c>
      <c r="J23" s="10">
        <v>45507</v>
      </c>
      <c r="K23" s="11">
        <v>4.1666666666666664E-2</v>
      </c>
      <c r="L23" s="12">
        <v>49</v>
      </c>
      <c r="M23" s="13">
        <v>1348</v>
      </c>
      <c r="N23" s="12">
        <v>8.0868599999999979</v>
      </c>
      <c r="O23" s="14">
        <v>1</v>
      </c>
      <c r="P23" s="14">
        <v>0.33695249999999993</v>
      </c>
      <c r="Q23" s="10">
        <v>45509.291666666664</v>
      </c>
      <c r="R23" s="11">
        <v>0.29166666666666669</v>
      </c>
      <c r="S23" s="15" t="s">
        <v>24</v>
      </c>
      <c r="T23" s="7"/>
      <c r="U23" s="17"/>
    </row>
    <row r="24" spans="3:21" ht="12" x14ac:dyDescent="0.2">
      <c r="C24" s="7" t="s">
        <v>36</v>
      </c>
      <c r="D24" s="8">
        <v>355</v>
      </c>
      <c r="E24" s="8">
        <v>10161807</v>
      </c>
      <c r="F24" s="9" t="s">
        <v>70</v>
      </c>
      <c r="G24" s="7" t="s">
        <v>29</v>
      </c>
      <c r="H24" s="7" t="s">
        <v>47</v>
      </c>
      <c r="I24" s="7" t="s">
        <v>24</v>
      </c>
      <c r="J24" s="10">
        <v>45507</v>
      </c>
      <c r="K24" s="11">
        <v>4.1666666666666664E-2</v>
      </c>
      <c r="L24" s="12">
        <v>51.017052999999997</v>
      </c>
      <c r="M24" s="13">
        <v>978</v>
      </c>
      <c r="N24" s="12">
        <v>4.1193520000000001</v>
      </c>
      <c r="O24" s="14">
        <v>1.0411643469387755</v>
      </c>
      <c r="P24" s="14">
        <v>0.17163966666666666</v>
      </c>
      <c r="Q24" s="10">
        <v>45509.291666666664</v>
      </c>
      <c r="R24" s="11">
        <v>0.29166666666666669</v>
      </c>
      <c r="S24" s="15" t="s">
        <v>24</v>
      </c>
      <c r="T24" s="7"/>
      <c r="U24" s="17"/>
    </row>
    <row r="25" spans="3:21" ht="12" x14ac:dyDescent="0.2">
      <c r="C25" s="7" t="s">
        <v>36</v>
      </c>
      <c r="D25" s="8">
        <v>353</v>
      </c>
      <c r="E25" s="8">
        <v>10161805</v>
      </c>
      <c r="F25" s="9" t="s">
        <v>71</v>
      </c>
      <c r="G25" s="7" t="s">
        <v>29</v>
      </c>
      <c r="H25" s="7" t="s">
        <v>47</v>
      </c>
      <c r="I25" s="7" t="s">
        <v>24</v>
      </c>
      <c r="J25" s="10">
        <v>45507</v>
      </c>
      <c r="K25" s="11">
        <v>4.1666666666666664E-2</v>
      </c>
      <c r="L25" s="12">
        <v>49</v>
      </c>
      <c r="M25" s="13">
        <v>1007</v>
      </c>
      <c r="N25" s="12">
        <v>4.8878280000000007</v>
      </c>
      <c r="O25" s="14">
        <v>1</v>
      </c>
      <c r="P25" s="14">
        <v>0.20365950000000002</v>
      </c>
      <c r="Q25" s="10">
        <v>45509.291666666664</v>
      </c>
      <c r="R25" s="11">
        <v>0.29166666666666669</v>
      </c>
      <c r="S25" s="15" t="s">
        <v>24</v>
      </c>
      <c r="T25" s="7"/>
      <c r="U25" s="17"/>
    </row>
    <row r="26" spans="3:21" ht="12" x14ac:dyDescent="0.2">
      <c r="C26" s="7" t="s">
        <v>36</v>
      </c>
      <c r="D26" s="8">
        <v>347</v>
      </c>
      <c r="E26" s="8">
        <v>10161799</v>
      </c>
      <c r="F26" s="9" t="s">
        <v>75</v>
      </c>
      <c r="G26" s="7" t="s">
        <v>51</v>
      </c>
      <c r="H26" s="7" t="s">
        <v>22</v>
      </c>
      <c r="I26" s="7" t="s">
        <v>24</v>
      </c>
      <c r="J26" s="10">
        <v>45507</v>
      </c>
      <c r="K26" s="11">
        <v>4.1666666666666664E-2</v>
      </c>
      <c r="L26" s="12">
        <v>22.743122999999997</v>
      </c>
      <c r="M26" s="13">
        <v>1060</v>
      </c>
      <c r="N26" s="12">
        <v>7.9723539999999993</v>
      </c>
      <c r="O26" s="14">
        <v>0.87473549999999989</v>
      </c>
      <c r="P26" s="14">
        <v>0.63778831999999996</v>
      </c>
      <c r="Q26" s="10">
        <v>45507.291666666664</v>
      </c>
      <c r="R26" s="11">
        <v>0.29166666666666669</v>
      </c>
      <c r="S26" s="15" t="s">
        <v>24</v>
      </c>
      <c r="T26" s="7"/>
      <c r="U26" s="17"/>
    </row>
    <row r="27" spans="3:21" ht="12" x14ac:dyDescent="0.2">
      <c r="C27" s="7" t="s">
        <v>36</v>
      </c>
      <c r="D27" s="8">
        <v>384</v>
      </c>
      <c r="E27" s="8">
        <v>10161838</v>
      </c>
      <c r="F27" s="9" t="s">
        <v>37</v>
      </c>
      <c r="G27" s="7" t="s">
        <v>32</v>
      </c>
      <c r="H27" s="7" t="s">
        <v>22</v>
      </c>
      <c r="I27" s="7" t="s">
        <v>24</v>
      </c>
      <c r="J27" s="10">
        <v>45507</v>
      </c>
      <c r="K27" s="11">
        <v>6.25E-2</v>
      </c>
      <c r="L27" s="12">
        <v>1.5499160000000001</v>
      </c>
      <c r="M27" s="13">
        <v>78.083333333333343</v>
      </c>
      <c r="N27" s="12">
        <v>0.61011466666666669</v>
      </c>
      <c r="O27" s="14">
        <v>0.45089893333333336</v>
      </c>
      <c r="P27" s="14">
        <v>0.44708766666666672</v>
      </c>
      <c r="Q27" s="10">
        <v>45507.395833333336</v>
      </c>
      <c r="R27" s="11">
        <v>0.39583333333333331</v>
      </c>
      <c r="S27" s="15" t="s">
        <v>33</v>
      </c>
      <c r="T27" s="7"/>
      <c r="U27" s="17"/>
    </row>
    <row r="28" spans="3:21" ht="12" x14ac:dyDescent="0.2">
      <c r="C28" s="7" t="s">
        <v>36</v>
      </c>
      <c r="D28" s="8">
        <v>384</v>
      </c>
      <c r="E28" s="8">
        <v>10161837</v>
      </c>
      <c r="F28" s="9" t="s">
        <v>38</v>
      </c>
      <c r="G28" s="7" t="s">
        <v>32</v>
      </c>
      <c r="H28" s="7" t="s">
        <v>22</v>
      </c>
      <c r="I28" s="7" t="s">
        <v>24</v>
      </c>
      <c r="J28" s="10">
        <v>45507</v>
      </c>
      <c r="K28" s="11">
        <v>6.25E-2</v>
      </c>
      <c r="L28" s="12">
        <v>1.8318259999999997</v>
      </c>
      <c r="M28" s="13">
        <v>108.33333333333333</v>
      </c>
      <c r="N28" s="12">
        <v>0.7311483333333334</v>
      </c>
      <c r="O28" s="14">
        <v>0.45089893333333336</v>
      </c>
      <c r="P28" s="14">
        <v>0.44708766666666672</v>
      </c>
      <c r="Q28" s="10">
        <v>45507.416666666664</v>
      </c>
      <c r="R28" s="11">
        <v>0.41666666666666669</v>
      </c>
      <c r="S28" s="15" t="s">
        <v>33</v>
      </c>
      <c r="T28" s="7"/>
      <c r="U28" s="17"/>
    </row>
    <row r="29" spans="3:21" ht="12" x14ac:dyDescent="0.2">
      <c r="C29" s="7" t="s">
        <v>36</v>
      </c>
      <c r="D29" s="8">
        <v>358</v>
      </c>
      <c r="E29" s="8">
        <v>10161810</v>
      </c>
      <c r="F29" s="9" t="s">
        <v>68</v>
      </c>
      <c r="G29" s="7" t="s">
        <v>29</v>
      </c>
      <c r="H29" s="7" t="s">
        <v>22</v>
      </c>
      <c r="I29" s="7" t="s">
        <v>23</v>
      </c>
      <c r="J29" s="10">
        <v>45507</v>
      </c>
      <c r="K29" s="11">
        <v>8.3333333333333329E-2</v>
      </c>
      <c r="L29" s="12">
        <v>50.544235800000003</v>
      </c>
      <c r="M29" s="13">
        <v>926</v>
      </c>
      <c r="N29" s="12">
        <v>5.6788400000000001</v>
      </c>
      <c r="O29" s="14">
        <v>1.0315150163265308</v>
      </c>
      <c r="P29" s="14">
        <v>0.23661833333333335</v>
      </c>
      <c r="Q29" s="10">
        <v>45507.375</v>
      </c>
      <c r="R29" s="11">
        <v>0.375</v>
      </c>
      <c r="S29" s="15" t="s">
        <v>24</v>
      </c>
      <c r="T29" s="7"/>
      <c r="U29" s="17"/>
    </row>
    <row r="30" spans="3:21" ht="12" x14ac:dyDescent="0.2">
      <c r="C30" s="7" t="s">
        <v>36</v>
      </c>
      <c r="D30" s="8">
        <v>351</v>
      </c>
      <c r="E30" s="8">
        <v>10161803</v>
      </c>
      <c r="F30" s="9" t="s">
        <v>73</v>
      </c>
      <c r="G30" s="7" t="s">
        <v>29</v>
      </c>
      <c r="H30" s="7" t="s">
        <v>47</v>
      </c>
      <c r="I30" s="7" t="s">
        <v>24</v>
      </c>
      <c r="J30" s="10">
        <v>45507</v>
      </c>
      <c r="K30" s="11">
        <v>8.3333333333333329E-2</v>
      </c>
      <c r="L30" s="12">
        <v>46.956269600000013</v>
      </c>
      <c r="M30" s="13">
        <v>1107</v>
      </c>
      <c r="N30" s="12">
        <v>4.8107819999999997</v>
      </c>
      <c r="O30" s="14">
        <v>0.95829121632653091</v>
      </c>
      <c r="P30" s="14">
        <v>0.20044925</v>
      </c>
      <c r="Q30" s="10">
        <v>45509.291666666664</v>
      </c>
      <c r="R30" s="11">
        <v>0.29166666666666669</v>
      </c>
      <c r="S30" s="15" t="s">
        <v>24</v>
      </c>
      <c r="T30" s="7"/>
      <c r="U30" s="17"/>
    </row>
    <row r="31" spans="3:21" ht="12" x14ac:dyDescent="0.2">
      <c r="C31" s="7" t="s">
        <v>36</v>
      </c>
      <c r="D31" s="8">
        <v>339</v>
      </c>
      <c r="E31" s="8">
        <v>10161791</v>
      </c>
      <c r="F31" s="9" t="s">
        <v>82</v>
      </c>
      <c r="G31" s="7" t="s">
        <v>21</v>
      </c>
      <c r="H31" s="7" t="s">
        <v>22</v>
      </c>
      <c r="I31" s="7" t="s">
        <v>24</v>
      </c>
      <c r="J31" s="10">
        <v>45507</v>
      </c>
      <c r="K31" s="11">
        <v>8.3333333333333329E-2</v>
      </c>
      <c r="L31" s="12">
        <v>47.534032749999994</v>
      </c>
      <c r="M31" s="13">
        <v>1593.0324074074074</v>
      </c>
      <c r="N31" s="12">
        <v>10.254421000000001</v>
      </c>
      <c r="O31" s="14">
        <v>0.97008230102040804</v>
      </c>
      <c r="P31" s="14">
        <v>0.42726754166666669</v>
      </c>
      <c r="Q31" s="10">
        <v>45507.333333333336</v>
      </c>
      <c r="R31" s="11">
        <v>0.33333333333333331</v>
      </c>
      <c r="S31" s="15" t="s">
        <v>24</v>
      </c>
      <c r="T31" s="7"/>
      <c r="U31" s="17"/>
    </row>
    <row r="32" spans="3:21" ht="12" x14ac:dyDescent="0.2">
      <c r="C32" s="7" t="s">
        <v>36</v>
      </c>
      <c r="D32" s="8">
        <v>335</v>
      </c>
      <c r="E32" s="8">
        <v>10161787</v>
      </c>
      <c r="F32" s="9" t="s">
        <v>86</v>
      </c>
      <c r="G32" s="7" t="s">
        <v>29</v>
      </c>
      <c r="H32" s="7" t="s">
        <v>22</v>
      </c>
      <c r="I32" s="7" t="s">
        <v>24</v>
      </c>
      <c r="J32" s="10">
        <v>45507</v>
      </c>
      <c r="K32" s="11">
        <v>8.3333333333333329E-2</v>
      </c>
      <c r="L32" s="12">
        <v>49.464725200000004</v>
      </c>
      <c r="M32" s="13">
        <v>1139.3333333333335</v>
      </c>
      <c r="N32" s="12">
        <v>5.5306006666666674</v>
      </c>
      <c r="O32" s="14">
        <v>1.0094841877551022</v>
      </c>
      <c r="P32" s="14">
        <v>0.23044169444444448</v>
      </c>
      <c r="Q32" s="10">
        <v>45507.291666666664</v>
      </c>
      <c r="R32" s="11">
        <v>0.29166666666666669</v>
      </c>
      <c r="S32" s="15" t="s">
        <v>24</v>
      </c>
      <c r="T32" s="7"/>
      <c r="U32" s="17"/>
    </row>
    <row r="33" spans="3:21" ht="12" x14ac:dyDescent="0.2">
      <c r="C33" s="7" t="s">
        <v>36</v>
      </c>
      <c r="D33" s="8">
        <v>369</v>
      </c>
      <c r="E33" s="8">
        <v>10161821</v>
      </c>
      <c r="F33" s="9" t="s">
        <v>59</v>
      </c>
      <c r="G33" s="7" t="s">
        <v>29</v>
      </c>
      <c r="H33" s="7" t="s">
        <v>22</v>
      </c>
      <c r="I33" s="7" t="s">
        <v>23</v>
      </c>
      <c r="J33" s="10">
        <v>45507</v>
      </c>
      <c r="K33" s="11">
        <v>0.125</v>
      </c>
      <c r="L33" s="12">
        <v>46.056702199999997</v>
      </c>
      <c r="M33" s="13">
        <v>1644</v>
      </c>
      <c r="N33" s="12">
        <v>13.294031</v>
      </c>
      <c r="O33" s="14">
        <v>0.93993269795918355</v>
      </c>
      <c r="P33" s="14">
        <v>0.55391795833333335</v>
      </c>
      <c r="Q33" s="10">
        <v>45507.291666666664</v>
      </c>
      <c r="R33" s="11">
        <v>0.29166666666666669</v>
      </c>
      <c r="S33" s="15" t="s">
        <v>24</v>
      </c>
      <c r="T33" s="7" t="s">
        <v>95</v>
      </c>
      <c r="U33" s="17"/>
    </row>
    <row r="34" spans="3:21" ht="12" x14ac:dyDescent="0.2">
      <c r="C34" s="7" t="s">
        <v>36</v>
      </c>
      <c r="D34" s="8">
        <v>359</v>
      </c>
      <c r="E34" s="8">
        <v>10161811</v>
      </c>
      <c r="F34" s="9" t="s">
        <v>42</v>
      </c>
      <c r="G34" s="7" t="s">
        <v>43</v>
      </c>
      <c r="H34" s="7" t="s">
        <v>22</v>
      </c>
      <c r="I34" s="7" t="s">
        <v>24</v>
      </c>
      <c r="J34" s="10">
        <v>45507</v>
      </c>
      <c r="K34" s="11">
        <v>0.125</v>
      </c>
      <c r="L34" s="12">
        <v>13.048920000000003</v>
      </c>
      <c r="M34" s="13">
        <v>517.83333333333337</v>
      </c>
      <c r="N34" s="12">
        <v>4.2728356666666647</v>
      </c>
      <c r="O34" s="14">
        <v>0.72494000000000014</v>
      </c>
      <c r="P34" s="14">
        <v>0.35606963888888871</v>
      </c>
      <c r="Q34" s="10">
        <v>45507.291666666664</v>
      </c>
      <c r="R34" s="11">
        <v>0.29166666666666669</v>
      </c>
      <c r="S34" s="15" t="s">
        <v>24</v>
      </c>
      <c r="T34" s="7"/>
      <c r="U34" s="17"/>
    </row>
    <row r="35" spans="3:21" ht="12" x14ac:dyDescent="0.2">
      <c r="C35" s="7" t="s">
        <v>36</v>
      </c>
      <c r="D35" s="8">
        <v>352</v>
      </c>
      <c r="E35" s="8">
        <v>10161804</v>
      </c>
      <c r="F35" s="9" t="s">
        <v>72</v>
      </c>
      <c r="G35" s="7" t="s">
        <v>51</v>
      </c>
      <c r="H35" s="7" t="s">
        <v>47</v>
      </c>
      <c r="I35" s="7" t="s">
        <v>24</v>
      </c>
      <c r="J35" s="10">
        <v>45507</v>
      </c>
      <c r="K35" s="11">
        <v>0.125</v>
      </c>
      <c r="L35" s="12">
        <v>26.950748999999998</v>
      </c>
      <c r="M35" s="13">
        <v>465</v>
      </c>
      <c r="N35" s="12">
        <v>4.7289440000000003</v>
      </c>
      <c r="O35" s="14">
        <v>1.0365672692307693</v>
      </c>
      <c r="P35" s="14">
        <v>0.37831552000000002</v>
      </c>
      <c r="Q35" s="10">
        <v>45509.291666666664</v>
      </c>
      <c r="R35" s="11">
        <v>0.29166666666666669</v>
      </c>
      <c r="S35" s="15" t="s">
        <v>24</v>
      </c>
      <c r="T35" s="7"/>
      <c r="U35" s="17"/>
    </row>
    <row r="36" spans="3:21" ht="12" x14ac:dyDescent="0.2">
      <c r="C36" s="7" t="s">
        <v>36</v>
      </c>
      <c r="D36" s="8">
        <v>333</v>
      </c>
      <c r="E36" s="8">
        <v>10161785</v>
      </c>
      <c r="F36" s="9" t="s">
        <v>52</v>
      </c>
      <c r="G36" s="7" t="s">
        <v>29</v>
      </c>
      <c r="H36" s="7" t="s">
        <v>53</v>
      </c>
      <c r="I36" s="7" t="s">
        <v>24</v>
      </c>
      <c r="J36" s="10">
        <v>45507</v>
      </c>
      <c r="K36" s="11">
        <v>0.125</v>
      </c>
      <c r="L36" s="12">
        <v>46.226843999999993</v>
      </c>
      <c r="M36" s="13">
        <v>2101</v>
      </c>
      <c r="N36" s="12">
        <v>13.122082000000001</v>
      </c>
      <c r="O36" s="14">
        <v>0.94340497959183656</v>
      </c>
      <c r="P36" s="14">
        <v>0.54675341666666666</v>
      </c>
      <c r="Q36" s="10">
        <v>45509.291666666664</v>
      </c>
      <c r="R36" s="11">
        <v>0.29166666666666669</v>
      </c>
      <c r="S36" s="15" t="s">
        <v>24</v>
      </c>
      <c r="T36" s="7"/>
      <c r="U36" s="17"/>
    </row>
    <row r="37" spans="3:21" ht="12" x14ac:dyDescent="0.2">
      <c r="C37" s="7" t="s">
        <v>36</v>
      </c>
      <c r="D37" s="8">
        <v>348</v>
      </c>
      <c r="E37" s="8">
        <v>10161800</v>
      </c>
      <c r="F37" s="9" t="s">
        <v>45</v>
      </c>
      <c r="G37" s="7" t="s">
        <v>46</v>
      </c>
      <c r="H37" s="7" t="s">
        <v>47</v>
      </c>
      <c r="I37" s="7" t="s">
        <v>24</v>
      </c>
      <c r="J37" s="10">
        <v>45507</v>
      </c>
      <c r="K37" s="11">
        <v>0.16666666666666666</v>
      </c>
      <c r="L37" s="12">
        <v>48.014766999999985</v>
      </c>
      <c r="M37" s="13">
        <v>3275</v>
      </c>
      <c r="N37" s="12">
        <v>23.977262000000003</v>
      </c>
      <c r="O37" s="14">
        <v>0.80024611666666645</v>
      </c>
      <c r="P37" s="14">
        <v>0.95909048000000008</v>
      </c>
      <c r="Q37" s="10">
        <v>45513.625</v>
      </c>
      <c r="R37" s="11">
        <v>0.625</v>
      </c>
      <c r="S37" s="15" t="s">
        <v>48</v>
      </c>
      <c r="T37" s="7"/>
      <c r="U37" s="17"/>
    </row>
    <row r="38" spans="3:21" ht="12" x14ac:dyDescent="0.2">
      <c r="C38" s="7" t="s">
        <v>36</v>
      </c>
      <c r="D38" s="8">
        <v>380</v>
      </c>
      <c r="E38" s="8">
        <v>10161832</v>
      </c>
      <c r="F38" s="9" t="s">
        <v>42</v>
      </c>
      <c r="G38" s="7" t="s">
        <v>43</v>
      </c>
      <c r="H38" s="7" t="s">
        <v>22</v>
      </c>
      <c r="I38" s="7" t="s">
        <v>24</v>
      </c>
      <c r="J38" s="10">
        <v>45507</v>
      </c>
      <c r="K38" s="11">
        <v>0.20833333333333334</v>
      </c>
      <c r="L38" s="12">
        <v>13.151753000000001</v>
      </c>
      <c r="M38" s="13">
        <v>788</v>
      </c>
      <c r="N38" s="12">
        <v>6.9645030000000006</v>
      </c>
      <c r="O38" s="14">
        <v>0.73065294444444451</v>
      </c>
      <c r="P38" s="14">
        <v>0.58037525000000001</v>
      </c>
      <c r="Q38" s="10">
        <v>45507.375</v>
      </c>
      <c r="R38" s="11">
        <v>0.375</v>
      </c>
      <c r="S38" s="15" t="s">
        <v>24</v>
      </c>
      <c r="T38" s="7"/>
      <c r="U38" s="17"/>
    </row>
    <row r="39" spans="3:21" ht="12" x14ac:dyDescent="0.2">
      <c r="C39" s="7" t="s">
        <v>36</v>
      </c>
      <c r="D39" s="8">
        <v>341</v>
      </c>
      <c r="E39" s="8">
        <v>10161793</v>
      </c>
      <c r="F39" s="9" t="s">
        <v>49</v>
      </c>
      <c r="G39" s="7" t="s">
        <v>21</v>
      </c>
      <c r="H39" s="7" t="s">
        <v>22</v>
      </c>
      <c r="I39" s="7" t="s">
        <v>24</v>
      </c>
      <c r="J39" s="10">
        <v>45507</v>
      </c>
      <c r="K39" s="11">
        <v>0.20833333333333334</v>
      </c>
      <c r="L39" s="12">
        <v>47.688965400000015</v>
      </c>
      <c r="M39" s="13">
        <v>1047.4166666666665</v>
      </c>
      <c r="N39" s="12">
        <v>10.878066666666667</v>
      </c>
      <c r="O39" s="14">
        <v>0.97324419183673505</v>
      </c>
      <c r="P39" s="14">
        <v>0.45325277777777778</v>
      </c>
      <c r="Q39" s="10">
        <v>45507.416666666664</v>
      </c>
      <c r="R39" s="11">
        <v>0.41666666666666669</v>
      </c>
      <c r="S39" s="15" t="s">
        <v>24</v>
      </c>
      <c r="T39" s="7"/>
      <c r="U39" s="17"/>
    </row>
    <row r="40" spans="3:21" ht="12" x14ac:dyDescent="0.2">
      <c r="C40" s="7" t="s">
        <v>19</v>
      </c>
      <c r="D40" s="8">
        <v>382</v>
      </c>
      <c r="E40" s="8">
        <v>10161834</v>
      </c>
      <c r="F40" s="9" t="s">
        <v>41</v>
      </c>
      <c r="G40" s="7" t="s">
        <v>21</v>
      </c>
      <c r="H40" s="7" t="s">
        <v>22</v>
      </c>
      <c r="I40" s="7" t="s">
        <v>23</v>
      </c>
      <c r="J40" s="10">
        <v>45507</v>
      </c>
      <c r="K40" s="11">
        <v>0.25</v>
      </c>
      <c r="L40" s="12">
        <v>46.464842599999983</v>
      </c>
      <c r="M40" s="13">
        <v>2446</v>
      </c>
      <c r="N40" s="12">
        <v>16.397680000000001</v>
      </c>
      <c r="O40" s="14">
        <v>0.94826209387755067</v>
      </c>
      <c r="P40" s="14">
        <v>0.68323666666666671</v>
      </c>
      <c r="Q40" s="10">
        <v>45507.5</v>
      </c>
      <c r="R40" s="11">
        <v>0.5</v>
      </c>
      <c r="S40" s="15" t="s">
        <v>24</v>
      </c>
      <c r="T40" s="7"/>
      <c r="U40" s="17"/>
    </row>
    <row r="41" spans="3:21" ht="12" x14ac:dyDescent="0.2">
      <c r="C41" s="7" t="s">
        <v>19</v>
      </c>
      <c r="D41" s="8">
        <v>337</v>
      </c>
      <c r="E41" s="8">
        <v>10161789</v>
      </c>
      <c r="F41" s="9" t="s">
        <v>83</v>
      </c>
      <c r="G41" s="7" t="s">
        <v>84</v>
      </c>
      <c r="H41" s="7" t="s">
        <v>47</v>
      </c>
      <c r="I41" s="7" t="s">
        <v>24</v>
      </c>
      <c r="J41" s="10">
        <v>45507</v>
      </c>
      <c r="K41" s="11">
        <v>0.25</v>
      </c>
      <c r="L41" s="12">
        <v>78.138455000000036</v>
      </c>
      <c r="M41" s="13">
        <v>1740</v>
      </c>
      <c r="N41" s="12">
        <v>14.494877999999998</v>
      </c>
      <c r="O41" s="14">
        <v>1.0418460666666671</v>
      </c>
      <c r="P41" s="14">
        <v>0.60395324999999989</v>
      </c>
      <c r="Q41" s="10">
        <v>45509.291666666664</v>
      </c>
      <c r="R41" s="11">
        <v>0.29166666666666669</v>
      </c>
      <c r="S41" s="15" t="s">
        <v>24</v>
      </c>
      <c r="T41" s="7"/>
      <c r="U41" s="17"/>
    </row>
    <row r="42" spans="3:21" ht="12" x14ac:dyDescent="0.2">
      <c r="C42" s="7" t="s">
        <v>19</v>
      </c>
      <c r="D42" s="8">
        <v>346</v>
      </c>
      <c r="E42" s="8">
        <v>10161798</v>
      </c>
      <c r="F42" s="9" t="s">
        <v>76</v>
      </c>
      <c r="G42" s="7" t="s">
        <v>29</v>
      </c>
      <c r="H42" s="7" t="s">
        <v>22</v>
      </c>
      <c r="I42" s="7" t="s">
        <v>24</v>
      </c>
      <c r="J42" s="10">
        <v>45507</v>
      </c>
      <c r="K42" s="11">
        <v>0.29166666666666669</v>
      </c>
      <c r="L42" s="12">
        <v>49.324072399999999</v>
      </c>
      <c r="M42" s="13">
        <v>1939.5</v>
      </c>
      <c r="N42" s="12">
        <v>13.169130333333332</v>
      </c>
      <c r="O42" s="14">
        <v>1.0066137224489795</v>
      </c>
      <c r="P42" s="14">
        <v>0.54871376388888882</v>
      </c>
      <c r="Q42" s="10">
        <v>45507.541666666664</v>
      </c>
      <c r="R42" s="11">
        <v>0.54166666666666663</v>
      </c>
      <c r="S42" s="15" t="s">
        <v>24</v>
      </c>
      <c r="T42" s="7"/>
      <c r="U42" s="17"/>
    </row>
    <row r="43" spans="3:21" ht="12" x14ac:dyDescent="0.2">
      <c r="C43" s="7" t="s">
        <v>19</v>
      </c>
      <c r="D43" s="8">
        <v>385</v>
      </c>
      <c r="E43" s="8">
        <v>10161839</v>
      </c>
      <c r="F43" s="9" t="s">
        <v>35</v>
      </c>
      <c r="G43" s="7" t="s">
        <v>32</v>
      </c>
      <c r="H43" s="7" t="s">
        <v>22</v>
      </c>
      <c r="I43" s="7" t="s">
        <v>24</v>
      </c>
      <c r="J43" s="10">
        <v>45507</v>
      </c>
      <c r="K43" s="11">
        <v>0.33333333333333331</v>
      </c>
      <c r="L43" s="12">
        <v>5.1212355000000001</v>
      </c>
      <c r="M43" s="13">
        <v>220.02777777777777</v>
      </c>
      <c r="N43" s="12">
        <v>1.5224159444444445</v>
      </c>
      <c r="O43" s="14">
        <v>0.68283139999999998</v>
      </c>
      <c r="P43" s="14">
        <v>0.50747198148148154</v>
      </c>
      <c r="Q43" s="10">
        <v>45507.583333333336</v>
      </c>
      <c r="R43" s="11">
        <v>0.58333333333333337</v>
      </c>
      <c r="S43" s="15" t="s">
        <v>33</v>
      </c>
      <c r="T43" s="7"/>
      <c r="U43" s="17"/>
    </row>
    <row r="44" spans="3:21" ht="12" x14ac:dyDescent="0.2">
      <c r="C44" s="7" t="s">
        <v>19</v>
      </c>
      <c r="D44" s="8">
        <v>377</v>
      </c>
      <c r="E44" s="8">
        <v>10161829</v>
      </c>
      <c r="F44" s="9" t="s">
        <v>49</v>
      </c>
      <c r="G44" s="7" t="s">
        <v>21</v>
      </c>
      <c r="H44" s="7" t="s">
        <v>22</v>
      </c>
      <c r="I44" s="7" t="s">
        <v>23</v>
      </c>
      <c r="J44" s="10">
        <v>45507</v>
      </c>
      <c r="K44" s="11">
        <v>0.33333333333333331</v>
      </c>
      <c r="L44" s="12">
        <v>48.880289200000014</v>
      </c>
      <c r="M44" s="13">
        <v>929</v>
      </c>
      <c r="N44" s="12">
        <v>4.3418849999999996</v>
      </c>
      <c r="O44" s="14">
        <v>0.99755692244897987</v>
      </c>
      <c r="P44" s="14">
        <v>0.18091187499999997</v>
      </c>
      <c r="Q44" s="10">
        <v>45507.541666666664</v>
      </c>
      <c r="R44" s="11">
        <v>0.54166666666666663</v>
      </c>
      <c r="S44" s="15" t="s">
        <v>24</v>
      </c>
      <c r="T44" s="7"/>
      <c r="U44" s="17"/>
    </row>
    <row r="45" spans="3:21" ht="12" x14ac:dyDescent="0.2">
      <c r="C45" s="7" t="s">
        <v>19</v>
      </c>
      <c r="D45" s="8">
        <v>386</v>
      </c>
      <c r="E45" s="8">
        <v>10161840</v>
      </c>
      <c r="F45" s="9" t="s">
        <v>31</v>
      </c>
      <c r="G45" s="7" t="s">
        <v>32</v>
      </c>
      <c r="H45" s="7" t="s">
        <v>22</v>
      </c>
      <c r="I45" s="7" t="s">
        <v>24</v>
      </c>
      <c r="J45" s="10">
        <v>45507</v>
      </c>
      <c r="K45" s="11">
        <v>0.34722222222222227</v>
      </c>
      <c r="L45" s="12">
        <v>1.4204370000000002</v>
      </c>
      <c r="M45" s="13">
        <v>94</v>
      </c>
      <c r="N45" s="12">
        <v>0.74117799999999989</v>
      </c>
      <c r="O45" s="14">
        <v>0.3574388</v>
      </c>
      <c r="P45" s="14">
        <v>0.39908899999999997</v>
      </c>
      <c r="Q45" s="10">
        <v>45507.6875</v>
      </c>
      <c r="R45" s="11">
        <v>0.6875</v>
      </c>
      <c r="S45" s="15" t="s">
        <v>33</v>
      </c>
      <c r="T45" s="7"/>
      <c r="U45" s="17"/>
    </row>
    <row r="46" spans="3:21" ht="12" x14ac:dyDescent="0.2">
      <c r="C46" s="7" t="s">
        <v>19</v>
      </c>
      <c r="D46" s="8">
        <v>386</v>
      </c>
      <c r="E46" s="8">
        <v>10161841</v>
      </c>
      <c r="F46" s="9" t="s">
        <v>34</v>
      </c>
      <c r="G46" s="7" t="s">
        <v>32</v>
      </c>
      <c r="H46" s="7" t="s">
        <v>22</v>
      </c>
      <c r="I46" s="7" t="s">
        <v>23</v>
      </c>
      <c r="J46" s="10">
        <v>45507</v>
      </c>
      <c r="K46" s="11">
        <v>0.34722222222222227</v>
      </c>
      <c r="L46" s="12">
        <v>1.260354</v>
      </c>
      <c r="M46" s="13">
        <v>61</v>
      </c>
      <c r="N46" s="12">
        <v>0.45608899999999997</v>
      </c>
      <c r="O46" s="14">
        <v>0.3574388</v>
      </c>
      <c r="P46" s="14">
        <v>0.39908899999999997</v>
      </c>
      <c r="Q46" s="10">
        <v>45507.541666666664</v>
      </c>
      <c r="R46" s="11">
        <v>0.54166666666666663</v>
      </c>
      <c r="S46" s="15" t="s">
        <v>33</v>
      </c>
      <c r="T46" s="7"/>
      <c r="U46" s="17"/>
    </row>
    <row r="47" spans="3:21" ht="12" x14ac:dyDescent="0.2">
      <c r="C47" s="7" t="s">
        <v>19</v>
      </c>
      <c r="D47" s="8">
        <v>1842</v>
      </c>
      <c r="E47" s="8">
        <v>10161842</v>
      </c>
      <c r="F47" s="9" t="s">
        <v>20</v>
      </c>
      <c r="G47" s="7" t="s">
        <v>21</v>
      </c>
      <c r="H47" s="7" t="s">
        <v>22</v>
      </c>
      <c r="I47" s="7" t="s">
        <v>23</v>
      </c>
      <c r="J47" s="10">
        <v>45507</v>
      </c>
      <c r="K47" s="11">
        <v>0.375</v>
      </c>
      <c r="L47" s="12">
        <v>47.000154800000011</v>
      </c>
      <c r="M47" s="13">
        <v>1161</v>
      </c>
      <c r="N47" s="12">
        <v>7.8837539999999997</v>
      </c>
      <c r="O47" s="14">
        <v>0.95918683265306148</v>
      </c>
      <c r="P47" s="14">
        <v>0.32848974999999997</v>
      </c>
      <c r="Q47" s="10">
        <v>45507.541666666664</v>
      </c>
      <c r="R47" s="11">
        <v>0.54166666666666663</v>
      </c>
      <c r="S47" s="7" t="s">
        <v>24</v>
      </c>
      <c r="T47" s="7"/>
      <c r="U47" s="17"/>
    </row>
    <row r="48" spans="3:21" ht="12" x14ac:dyDescent="0.2">
      <c r="C48" s="7" t="s">
        <v>19</v>
      </c>
      <c r="D48" s="8">
        <v>345</v>
      </c>
      <c r="E48" s="8">
        <v>10161797</v>
      </c>
      <c r="F48" s="9" t="s">
        <v>77</v>
      </c>
      <c r="G48" s="7" t="s">
        <v>29</v>
      </c>
      <c r="H48" s="7" t="s">
        <v>22</v>
      </c>
      <c r="I48" s="7" t="s">
        <v>24</v>
      </c>
      <c r="J48" s="10">
        <v>45507</v>
      </c>
      <c r="K48" s="11">
        <v>0.375</v>
      </c>
      <c r="L48" s="12">
        <v>49.868578300000003</v>
      </c>
      <c r="M48" s="13">
        <v>2010.85</v>
      </c>
      <c r="N48" s="12">
        <v>11.696016666666669</v>
      </c>
      <c r="O48" s="14">
        <v>1.0177260877551022</v>
      </c>
      <c r="P48" s="14">
        <v>0.48733402777777785</v>
      </c>
      <c r="Q48" s="10">
        <v>45507.625</v>
      </c>
      <c r="R48" s="11">
        <v>0.625</v>
      </c>
      <c r="S48" s="15" t="s">
        <v>24</v>
      </c>
      <c r="T48" s="7"/>
      <c r="U48" s="17"/>
    </row>
    <row r="49" spans="3:21" ht="12" x14ac:dyDescent="0.2">
      <c r="C49" s="7" t="s">
        <v>19</v>
      </c>
      <c r="D49" s="8">
        <v>344</v>
      </c>
      <c r="E49" s="8">
        <v>10161796</v>
      </c>
      <c r="F49" s="9" t="s">
        <v>78</v>
      </c>
      <c r="G49" s="7" t="s">
        <v>29</v>
      </c>
      <c r="H49" s="7" t="s">
        <v>53</v>
      </c>
      <c r="I49" s="7" t="s">
        <v>24</v>
      </c>
      <c r="J49" s="10">
        <v>45507</v>
      </c>
      <c r="K49" s="11">
        <v>0.375</v>
      </c>
      <c r="L49" s="12">
        <v>42.863132</v>
      </c>
      <c r="M49" s="13">
        <v>1553.6666666666667</v>
      </c>
      <c r="N49" s="12">
        <v>10.894523333333332</v>
      </c>
      <c r="O49" s="14">
        <v>0.87475779591836733</v>
      </c>
      <c r="P49" s="14">
        <v>0.45393847222222217</v>
      </c>
      <c r="Q49" s="10">
        <v>45509.541666666664</v>
      </c>
      <c r="R49" s="11">
        <v>0.54166666666666663</v>
      </c>
      <c r="S49" s="15" t="s">
        <v>24</v>
      </c>
      <c r="T49" s="7" t="s">
        <v>96</v>
      </c>
      <c r="U49" s="17"/>
    </row>
    <row r="50" spans="3:21" ht="12" x14ac:dyDescent="0.2">
      <c r="C50" s="7" t="s">
        <v>19</v>
      </c>
      <c r="D50" s="8">
        <v>338</v>
      </c>
      <c r="E50" s="8">
        <v>10161790</v>
      </c>
      <c r="F50" s="9" t="s">
        <v>50</v>
      </c>
      <c r="G50" s="7" t="s">
        <v>51</v>
      </c>
      <c r="H50" s="7" t="s">
        <v>22</v>
      </c>
      <c r="I50" s="7" t="s">
        <v>24</v>
      </c>
      <c r="J50" s="10">
        <v>45507</v>
      </c>
      <c r="K50" s="11">
        <v>0.375</v>
      </c>
      <c r="L50" s="12">
        <v>26.448097866666668</v>
      </c>
      <c r="M50" s="13">
        <v>648.08333333333337</v>
      </c>
      <c r="N50" s="12">
        <v>3.1349079999999998</v>
      </c>
      <c r="O50" s="14">
        <v>1.0172345333333335</v>
      </c>
      <c r="P50" s="14">
        <v>0.25079264000000001</v>
      </c>
      <c r="Q50" s="10">
        <v>45507.583333333336</v>
      </c>
      <c r="R50" s="11">
        <v>0.58333333333333337</v>
      </c>
      <c r="S50" s="15" t="s">
        <v>24</v>
      </c>
      <c r="T50" s="7"/>
      <c r="U50" s="17"/>
    </row>
    <row r="51" spans="3:21" ht="12" x14ac:dyDescent="0.2">
      <c r="C51" s="7" t="s">
        <v>19</v>
      </c>
      <c r="D51" s="8">
        <v>378</v>
      </c>
      <c r="E51" s="8">
        <v>10161830</v>
      </c>
      <c r="F51" s="9" t="s">
        <v>45</v>
      </c>
      <c r="G51" s="7" t="s">
        <v>46</v>
      </c>
      <c r="H51" s="7" t="s">
        <v>47</v>
      </c>
      <c r="I51" s="7" t="s">
        <v>23</v>
      </c>
      <c r="J51" s="10">
        <v>45507</v>
      </c>
      <c r="K51" s="11">
        <v>0.41666666666666669</v>
      </c>
      <c r="L51" s="12">
        <v>52.080479999999966</v>
      </c>
      <c r="M51" s="13">
        <v>1080</v>
      </c>
      <c r="N51" s="12">
        <v>3.6</v>
      </c>
      <c r="O51" s="14">
        <v>0.86800799999999945</v>
      </c>
      <c r="P51" s="14">
        <v>0.14400000000000002</v>
      </c>
      <c r="Q51" s="10">
        <v>45512.75</v>
      </c>
      <c r="R51" s="11">
        <v>0.75</v>
      </c>
      <c r="S51" s="15" t="s">
        <v>48</v>
      </c>
      <c r="T51" s="7"/>
      <c r="U51" s="17"/>
    </row>
    <row r="52" spans="3:21" ht="12" x14ac:dyDescent="0.2">
      <c r="C52" s="7" t="s">
        <v>19</v>
      </c>
      <c r="D52" s="8">
        <v>375</v>
      </c>
      <c r="E52" s="8">
        <v>10161827</v>
      </c>
      <c r="F52" s="9" t="s">
        <v>52</v>
      </c>
      <c r="G52" s="7" t="s">
        <v>29</v>
      </c>
      <c r="H52" s="7" t="s">
        <v>53</v>
      </c>
      <c r="I52" s="7" t="s">
        <v>24</v>
      </c>
      <c r="J52" s="10">
        <v>45507</v>
      </c>
      <c r="K52" s="11">
        <v>0.41666666666666669</v>
      </c>
      <c r="L52" s="12">
        <v>49.042477000000005</v>
      </c>
      <c r="M52" s="13">
        <v>482</v>
      </c>
      <c r="N52" s="12">
        <v>5.0547949999999995</v>
      </c>
      <c r="O52" s="14">
        <v>1.0008668775510206</v>
      </c>
      <c r="P52" s="14">
        <v>0.21061645833333331</v>
      </c>
      <c r="Q52" s="10">
        <v>45509.583333333336</v>
      </c>
      <c r="R52" s="11">
        <v>0.58333333333333337</v>
      </c>
      <c r="S52" s="15" t="s">
        <v>24</v>
      </c>
      <c r="T52" s="7"/>
      <c r="U52" s="17"/>
    </row>
    <row r="53" spans="3:21" ht="12" x14ac:dyDescent="0.2">
      <c r="C53" s="7" t="s">
        <v>19</v>
      </c>
      <c r="D53" s="8">
        <v>366</v>
      </c>
      <c r="E53" s="8">
        <v>10161818</v>
      </c>
      <c r="F53" s="9" t="s">
        <v>61</v>
      </c>
      <c r="G53" s="7" t="s">
        <v>21</v>
      </c>
      <c r="H53" s="7" t="s">
        <v>22</v>
      </c>
      <c r="I53" s="7" t="s">
        <v>24</v>
      </c>
      <c r="J53" s="10">
        <v>45507</v>
      </c>
      <c r="K53" s="11">
        <v>0.41666666666666669</v>
      </c>
      <c r="L53" s="12">
        <v>51.303184633333338</v>
      </c>
      <c r="M53" s="13">
        <v>4025.083333333333</v>
      </c>
      <c r="N53" s="12">
        <v>20.886573166666668</v>
      </c>
      <c r="O53" s="14">
        <v>1.0470037680272111</v>
      </c>
      <c r="P53" s="14">
        <v>0.87027388194444455</v>
      </c>
      <c r="Q53" s="10">
        <v>45507.625</v>
      </c>
      <c r="R53" s="11">
        <v>0.625</v>
      </c>
      <c r="S53" s="15" t="s">
        <v>24</v>
      </c>
      <c r="T53" s="7"/>
      <c r="U53" s="17"/>
    </row>
    <row r="54" spans="3:21" ht="12" x14ac:dyDescent="0.2">
      <c r="C54" s="7" t="s">
        <v>19</v>
      </c>
      <c r="D54" s="8">
        <v>376</v>
      </c>
      <c r="E54" s="8">
        <v>10161828</v>
      </c>
      <c r="F54" s="9" t="s">
        <v>50</v>
      </c>
      <c r="G54" s="7" t="s">
        <v>51</v>
      </c>
      <c r="H54" s="7" t="s">
        <v>22</v>
      </c>
      <c r="I54" s="7" t="s">
        <v>24</v>
      </c>
      <c r="J54" s="10">
        <v>45507</v>
      </c>
      <c r="K54" s="11">
        <v>0.45833333333333331</v>
      </c>
      <c r="L54" s="12">
        <v>26.484503000000021</v>
      </c>
      <c r="M54" s="13">
        <v>542</v>
      </c>
      <c r="N54" s="12">
        <v>3.6304080000000001</v>
      </c>
      <c r="O54" s="14">
        <v>1.0186347307692316</v>
      </c>
      <c r="P54" s="14">
        <v>0.29043264000000002</v>
      </c>
      <c r="Q54" s="10">
        <v>45507.666666666664</v>
      </c>
      <c r="R54" s="11">
        <v>0.66666666666666663</v>
      </c>
      <c r="S54" s="15" t="s">
        <v>24</v>
      </c>
      <c r="T54" s="7"/>
      <c r="U54" s="17"/>
    </row>
    <row r="55" spans="3:21" ht="12" x14ac:dyDescent="0.2">
      <c r="C55" s="7" t="s">
        <v>19</v>
      </c>
      <c r="D55" s="8">
        <v>360</v>
      </c>
      <c r="E55" s="8">
        <v>10161812</v>
      </c>
      <c r="F55" s="9" t="s">
        <v>67</v>
      </c>
      <c r="G55" s="7" t="s">
        <v>29</v>
      </c>
      <c r="H55" s="7" t="s">
        <v>53</v>
      </c>
      <c r="I55" s="7" t="s">
        <v>24</v>
      </c>
      <c r="J55" s="10">
        <v>45507</v>
      </c>
      <c r="K55" s="11">
        <v>0.45833333333333331</v>
      </c>
      <c r="L55" s="12">
        <v>48.19998333333335</v>
      </c>
      <c r="M55" s="13">
        <v>1822.75</v>
      </c>
      <c r="N55" s="12">
        <v>13.488716333333333</v>
      </c>
      <c r="O55" s="14">
        <v>0.98367312925170103</v>
      </c>
      <c r="P55" s="14">
        <v>0.56202984722222216</v>
      </c>
      <c r="Q55" s="10">
        <v>45509.416666666664</v>
      </c>
      <c r="R55" s="11">
        <v>0.41666666666666669</v>
      </c>
      <c r="S55" s="15" t="s">
        <v>24</v>
      </c>
      <c r="T55" s="7" t="s">
        <v>97</v>
      </c>
      <c r="U55" s="17"/>
    </row>
    <row r="56" spans="3:21" ht="12" x14ac:dyDescent="0.2">
      <c r="C56" s="7" t="s">
        <v>19</v>
      </c>
      <c r="D56" s="8">
        <v>383</v>
      </c>
      <c r="E56" s="8">
        <v>10161835</v>
      </c>
      <c r="F56" s="9" t="s">
        <v>39</v>
      </c>
      <c r="G56" s="7" t="s">
        <v>32</v>
      </c>
      <c r="H56" s="7" t="s">
        <v>22</v>
      </c>
      <c r="I56" s="7" t="s">
        <v>24</v>
      </c>
      <c r="J56" s="10">
        <v>45507</v>
      </c>
      <c r="K56" s="11">
        <v>0.52083333333333337</v>
      </c>
      <c r="L56" s="12">
        <v>1.59457</v>
      </c>
      <c r="M56" s="13">
        <v>79</v>
      </c>
      <c r="N56" s="12">
        <v>0.52906300000000006</v>
      </c>
      <c r="O56" s="14">
        <v>0.55930080000000004</v>
      </c>
      <c r="P56" s="14">
        <v>0.46563422222222228</v>
      </c>
      <c r="Q56" s="10">
        <v>45507.833333333336</v>
      </c>
      <c r="R56" s="11">
        <v>0.83333333333333337</v>
      </c>
      <c r="S56" s="15" t="s">
        <v>33</v>
      </c>
      <c r="T56" s="7"/>
      <c r="U56" s="17"/>
    </row>
    <row r="57" spans="3:21" ht="12" x14ac:dyDescent="0.2">
      <c r="C57" s="7" t="s">
        <v>19</v>
      </c>
      <c r="D57" s="8">
        <v>383</v>
      </c>
      <c r="E57" s="8">
        <v>10161836</v>
      </c>
      <c r="F57" s="9" t="s">
        <v>40</v>
      </c>
      <c r="G57" s="7" t="s">
        <v>32</v>
      </c>
      <c r="H57" s="7" t="s">
        <v>22</v>
      </c>
      <c r="I57" s="7" t="s">
        <v>24</v>
      </c>
      <c r="J57" s="10">
        <v>45507</v>
      </c>
      <c r="K57" s="11">
        <v>0.52083333333333337</v>
      </c>
      <c r="L57" s="12">
        <v>2.6001860000000003</v>
      </c>
      <c r="M57" s="13">
        <v>119.08333333333333</v>
      </c>
      <c r="N57" s="12">
        <v>0.86783966666666668</v>
      </c>
      <c r="O57" s="14">
        <v>0.55930080000000004</v>
      </c>
      <c r="P57" s="14">
        <v>0.46563422222222228</v>
      </c>
      <c r="Q57" s="10">
        <v>45507.541666666664</v>
      </c>
      <c r="R57" s="11">
        <v>0.54166666666666663</v>
      </c>
      <c r="S57" s="15" t="s">
        <v>33</v>
      </c>
      <c r="T57" s="7"/>
      <c r="U57" s="17"/>
    </row>
    <row r="58" spans="3:21" ht="12" x14ac:dyDescent="0.2">
      <c r="C58" s="7" t="s">
        <v>19</v>
      </c>
      <c r="D58" s="8">
        <v>368</v>
      </c>
      <c r="E58" s="8">
        <v>10161820</v>
      </c>
      <c r="F58" s="9" t="s">
        <v>60</v>
      </c>
      <c r="G58" s="7" t="s">
        <v>21</v>
      </c>
      <c r="H58" s="7" t="s">
        <v>22</v>
      </c>
      <c r="I58" s="7" t="s">
        <v>24</v>
      </c>
      <c r="J58" s="10">
        <v>45507</v>
      </c>
      <c r="K58" s="11">
        <v>0.54166666666666663</v>
      </c>
      <c r="L58" s="12">
        <v>49.426635366666694</v>
      </c>
      <c r="M58" s="13">
        <v>915.49999999999989</v>
      </c>
      <c r="N58" s="12">
        <v>6.0218625000000001</v>
      </c>
      <c r="O58" s="14">
        <v>1.0087068442176876</v>
      </c>
      <c r="P58" s="14">
        <v>0.25091093749999999</v>
      </c>
      <c r="Q58" s="10">
        <v>45507.791666666664</v>
      </c>
      <c r="R58" s="11">
        <v>0.79166666666666663</v>
      </c>
      <c r="S58" s="15" t="s">
        <v>24</v>
      </c>
      <c r="T58" s="7"/>
      <c r="U58" s="17"/>
    </row>
    <row r="59" spans="3:21" ht="12" x14ac:dyDescent="0.2">
      <c r="C59" s="7" t="s">
        <v>19</v>
      </c>
      <c r="D59" s="8">
        <v>349</v>
      </c>
      <c r="E59" s="8">
        <v>10161801</v>
      </c>
      <c r="F59" s="9" t="s">
        <v>44</v>
      </c>
      <c r="G59" s="7" t="s">
        <v>21</v>
      </c>
      <c r="H59" s="7" t="s">
        <v>22</v>
      </c>
      <c r="I59" s="7" t="s">
        <v>24</v>
      </c>
      <c r="J59" s="10">
        <v>45507</v>
      </c>
      <c r="K59" s="11">
        <v>0.54166666666666663</v>
      </c>
      <c r="L59" s="12">
        <v>48.937434400000008</v>
      </c>
      <c r="M59" s="13">
        <v>2363.833333333333</v>
      </c>
      <c r="N59" s="12">
        <v>19.266896333333328</v>
      </c>
      <c r="O59" s="14">
        <v>0.99872315102040832</v>
      </c>
      <c r="P59" s="14">
        <v>0.802787347222222</v>
      </c>
      <c r="Q59" s="10">
        <v>45507.833333333336</v>
      </c>
      <c r="R59" s="11">
        <v>0.83333333333333337</v>
      </c>
      <c r="S59" s="15" t="s">
        <v>24</v>
      </c>
      <c r="T59" s="7"/>
      <c r="U59" s="17"/>
    </row>
    <row r="60" spans="3:21" ht="12" x14ac:dyDescent="0.2">
      <c r="C60" s="7" t="s">
        <v>19</v>
      </c>
      <c r="D60" s="8">
        <v>340</v>
      </c>
      <c r="E60" s="8">
        <v>10161792</v>
      </c>
      <c r="F60" s="9" t="s">
        <v>81</v>
      </c>
      <c r="G60" s="7" t="s">
        <v>21</v>
      </c>
      <c r="H60" s="7" t="s">
        <v>22</v>
      </c>
      <c r="I60" s="7" t="s">
        <v>24</v>
      </c>
      <c r="J60" s="10">
        <v>45507</v>
      </c>
      <c r="K60" s="11">
        <v>0.54166666666666663</v>
      </c>
      <c r="L60" s="12">
        <v>48.605652599999985</v>
      </c>
      <c r="M60" s="13">
        <v>1304.3333333333335</v>
      </c>
      <c r="N60" s="12">
        <v>7.3749716666666663</v>
      </c>
      <c r="O60" s="14">
        <v>0.99195209387755068</v>
      </c>
      <c r="P60" s="14">
        <v>0.30729048611111109</v>
      </c>
      <c r="Q60" s="10">
        <v>45507.75</v>
      </c>
      <c r="R60" s="11">
        <v>0.75</v>
      </c>
      <c r="S60" s="15" t="s">
        <v>24</v>
      </c>
      <c r="T60" s="7"/>
      <c r="U60" s="17"/>
    </row>
    <row r="61" spans="3:21" ht="12" x14ac:dyDescent="0.2">
      <c r="C61" s="7" t="s">
        <v>25</v>
      </c>
      <c r="D61" s="8">
        <v>379</v>
      </c>
      <c r="E61" s="8">
        <v>10161831</v>
      </c>
      <c r="F61" s="9" t="s">
        <v>44</v>
      </c>
      <c r="G61" s="7" t="s">
        <v>21</v>
      </c>
      <c r="H61" s="7" t="s">
        <v>22</v>
      </c>
      <c r="I61" s="7" t="s">
        <v>23</v>
      </c>
      <c r="J61" s="10">
        <v>45507</v>
      </c>
      <c r="K61" s="11">
        <v>0.58333333333333337</v>
      </c>
      <c r="L61" s="12">
        <v>46.103239000000009</v>
      </c>
      <c r="M61" s="13">
        <v>828</v>
      </c>
      <c r="N61" s="12">
        <v>3.817329</v>
      </c>
      <c r="O61" s="14">
        <v>0.94088242857142879</v>
      </c>
      <c r="P61" s="14">
        <v>0.159055375</v>
      </c>
      <c r="Q61" s="10">
        <v>45507.875</v>
      </c>
      <c r="R61" s="11">
        <v>0.875</v>
      </c>
      <c r="S61" s="15" t="s">
        <v>24</v>
      </c>
      <c r="T61" s="7"/>
      <c r="U61" s="17"/>
    </row>
    <row r="62" spans="3:21" ht="12" x14ac:dyDescent="0.2">
      <c r="C62" s="7" t="s">
        <v>25</v>
      </c>
      <c r="D62" s="8">
        <v>367</v>
      </c>
      <c r="E62" s="8">
        <v>10161819</v>
      </c>
      <c r="F62" s="9" t="s">
        <v>20</v>
      </c>
      <c r="G62" s="7" t="s">
        <v>21</v>
      </c>
      <c r="H62" s="7" t="s">
        <v>22</v>
      </c>
      <c r="I62" s="7" t="s">
        <v>24</v>
      </c>
      <c r="J62" s="10">
        <v>45507</v>
      </c>
      <c r="K62" s="11">
        <v>0.58333333333333337</v>
      </c>
      <c r="L62" s="12">
        <v>49.57202300000003</v>
      </c>
      <c r="M62" s="13">
        <v>539</v>
      </c>
      <c r="N62" s="12">
        <v>5.9206269999999988</v>
      </c>
      <c r="O62" s="14">
        <v>1.0116739387755107</v>
      </c>
      <c r="P62" s="14">
        <v>0.24669279166666661</v>
      </c>
      <c r="Q62" s="10">
        <v>45507.75</v>
      </c>
      <c r="R62" s="11">
        <v>0.75</v>
      </c>
      <c r="S62" s="15" t="s">
        <v>24</v>
      </c>
      <c r="T62" s="7"/>
      <c r="U62" s="17"/>
    </row>
    <row r="63" spans="3:21" ht="12" x14ac:dyDescent="0.2">
      <c r="C63" s="7" t="s">
        <v>25</v>
      </c>
      <c r="D63" s="8">
        <v>336</v>
      </c>
      <c r="E63" s="8">
        <v>10161788</v>
      </c>
      <c r="F63" s="9" t="s">
        <v>85</v>
      </c>
      <c r="G63" s="7" t="s">
        <v>21</v>
      </c>
      <c r="H63" s="7" t="s">
        <v>22</v>
      </c>
      <c r="I63" s="7" t="s">
        <v>24</v>
      </c>
      <c r="J63" s="10">
        <v>45507</v>
      </c>
      <c r="K63" s="11">
        <v>0.58333333333333337</v>
      </c>
      <c r="L63" s="12">
        <v>49.301679200000017</v>
      </c>
      <c r="M63" s="13">
        <v>1393.5</v>
      </c>
      <c r="N63" s="12">
        <v>6.7342729999999991</v>
      </c>
      <c r="O63" s="14">
        <v>1.0061567183673472</v>
      </c>
      <c r="P63" s="14">
        <v>0.28059470833333328</v>
      </c>
      <c r="Q63" s="10">
        <v>45507.75</v>
      </c>
      <c r="R63" s="11">
        <v>0.75</v>
      </c>
      <c r="S63" s="15" t="s">
        <v>24</v>
      </c>
      <c r="T63" s="7"/>
      <c r="U63" s="17"/>
    </row>
    <row r="64" spans="3:21" ht="12" x14ac:dyDescent="0.2">
      <c r="C64" s="17" t="s">
        <v>25</v>
      </c>
      <c r="D64" s="18">
        <v>1847</v>
      </c>
      <c r="E64" s="18">
        <v>10161847</v>
      </c>
      <c r="F64" s="19" t="s">
        <v>105</v>
      </c>
      <c r="G64" s="17" t="s">
        <v>106</v>
      </c>
      <c r="H64" s="17" t="s">
        <v>47</v>
      </c>
      <c r="I64" s="17" t="s">
        <v>23</v>
      </c>
      <c r="J64" s="20">
        <v>45507</v>
      </c>
      <c r="K64" s="21">
        <v>0.58333333333333337</v>
      </c>
      <c r="L64" s="22">
        <v>60.983026999999993</v>
      </c>
      <c r="M64" s="23">
        <v>1565</v>
      </c>
      <c r="N64" s="22">
        <v>9.891235</v>
      </c>
      <c r="O64" s="27">
        <v>0.93820041538461529</v>
      </c>
      <c r="P64" s="27">
        <v>0.32970783333333331</v>
      </c>
      <c r="Q64" s="20">
        <v>45509.291666666664</v>
      </c>
      <c r="R64" s="21">
        <v>0.29166666666666669</v>
      </c>
      <c r="S64" s="25"/>
      <c r="T64" s="25"/>
      <c r="U64" s="17"/>
    </row>
    <row r="65" spans="3:21" ht="12" x14ac:dyDescent="0.2">
      <c r="C65" s="17" t="s">
        <v>25</v>
      </c>
      <c r="D65" s="18">
        <v>1846</v>
      </c>
      <c r="E65" s="18">
        <v>10161846</v>
      </c>
      <c r="F65" s="19" t="s">
        <v>105</v>
      </c>
      <c r="G65" s="17" t="s">
        <v>106</v>
      </c>
      <c r="H65" s="17" t="s">
        <v>47</v>
      </c>
      <c r="I65" s="17" t="s">
        <v>23</v>
      </c>
      <c r="J65" s="20">
        <v>45507</v>
      </c>
      <c r="K65" s="21">
        <v>0.58333333333333337</v>
      </c>
      <c r="L65" s="22">
        <v>64.707157000000009</v>
      </c>
      <c r="M65" s="23">
        <v>1041</v>
      </c>
      <c r="N65" s="22">
        <v>7.4055400000000002</v>
      </c>
      <c r="O65" s="27">
        <v>0.99549472307692322</v>
      </c>
      <c r="P65" s="27">
        <v>0.24685133333333334</v>
      </c>
      <c r="Q65" s="20">
        <v>45509.291666666664</v>
      </c>
      <c r="R65" s="21">
        <v>0.29166666666666669</v>
      </c>
      <c r="S65" s="25"/>
      <c r="T65" s="25"/>
      <c r="U65" s="17"/>
    </row>
    <row r="66" spans="3:21" ht="12" x14ac:dyDescent="0.2">
      <c r="C66" s="7" t="s">
        <v>25</v>
      </c>
      <c r="D66" s="8">
        <v>365</v>
      </c>
      <c r="E66" s="8">
        <v>10161817</v>
      </c>
      <c r="F66" s="9" t="s">
        <v>62</v>
      </c>
      <c r="G66" s="7" t="s">
        <v>29</v>
      </c>
      <c r="H66" s="7" t="s">
        <v>53</v>
      </c>
      <c r="I66" s="7" t="s">
        <v>24</v>
      </c>
      <c r="J66" s="10">
        <v>45507</v>
      </c>
      <c r="K66" s="11">
        <v>0.625</v>
      </c>
      <c r="L66" s="12">
        <v>47.967933666666674</v>
      </c>
      <c r="M66" s="13">
        <v>1484.6666666666667</v>
      </c>
      <c r="N66" s="12">
        <v>12.786191666666666</v>
      </c>
      <c r="O66" s="14">
        <v>0.97893742176870768</v>
      </c>
      <c r="P66" s="14">
        <v>0.53275798611111103</v>
      </c>
      <c r="Q66" s="10">
        <v>45509.291666666664</v>
      </c>
      <c r="R66" s="11">
        <v>0.29166666666666669</v>
      </c>
      <c r="S66" s="15" t="s">
        <v>24</v>
      </c>
      <c r="T66" s="7" t="s">
        <v>98</v>
      </c>
      <c r="U66" s="17"/>
    </row>
    <row r="67" spans="3:21" ht="12" x14ac:dyDescent="0.2">
      <c r="C67" s="7" t="s">
        <v>25</v>
      </c>
      <c r="D67" s="8">
        <v>363</v>
      </c>
      <c r="E67" s="8">
        <v>10161815</v>
      </c>
      <c r="F67" s="9" t="s">
        <v>64</v>
      </c>
      <c r="G67" s="7" t="s">
        <v>29</v>
      </c>
      <c r="H67" s="7" t="s">
        <v>53</v>
      </c>
      <c r="I67" s="7" t="s">
        <v>24</v>
      </c>
      <c r="J67" s="10">
        <v>45507</v>
      </c>
      <c r="K67" s="11">
        <v>0.625</v>
      </c>
      <c r="L67" s="12">
        <v>49.461031800000015</v>
      </c>
      <c r="M67" s="13">
        <v>1069.4166666666665</v>
      </c>
      <c r="N67" s="12">
        <v>3.8478263333333333</v>
      </c>
      <c r="O67" s="14">
        <v>1.0094088122448983</v>
      </c>
      <c r="P67" s="14">
        <v>0.16032609722222221</v>
      </c>
      <c r="Q67" s="10">
        <v>45509.291666666664</v>
      </c>
      <c r="R67" s="11">
        <v>0.29166666666666669</v>
      </c>
      <c r="S67" s="15" t="s">
        <v>24</v>
      </c>
      <c r="T67" s="7" t="s">
        <v>99</v>
      </c>
      <c r="U67" s="17"/>
    </row>
    <row r="68" spans="3:21" ht="12" x14ac:dyDescent="0.2">
      <c r="C68" s="7" t="s">
        <v>25</v>
      </c>
      <c r="D68" s="8">
        <v>342</v>
      </c>
      <c r="E68" s="8">
        <v>10161794</v>
      </c>
      <c r="F68" s="9" t="s">
        <v>80</v>
      </c>
      <c r="G68" s="7" t="s">
        <v>21</v>
      </c>
      <c r="H68" s="7" t="s">
        <v>22</v>
      </c>
      <c r="I68" s="7" t="s">
        <v>24</v>
      </c>
      <c r="J68" s="10">
        <v>45507</v>
      </c>
      <c r="K68" s="11">
        <v>0.625</v>
      </c>
      <c r="L68" s="12">
        <v>49.532907199999997</v>
      </c>
      <c r="M68" s="13">
        <v>1675.5833333333333</v>
      </c>
      <c r="N68" s="12">
        <v>9.8925256666666677</v>
      </c>
      <c r="O68" s="14">
        <v>1.010875657142857</v>
      </c>
      <c r="P68" s="14">
        <v>0.41218856944444449</v>
      </c>
      <c r="Q68" s="10">
        <v>45507.916666666664</v>
      </c>
      <c r="R68" s="11">
        <v>0.91666666666666663</v>
      </c>
      <c r="S68" s="15" t="s">
        <v>24</v>
      </c>
      <c r="T68" s="7"/>
      <c r="U68" s="17"/>
    </row>
    <row r="69" spans="3:21" ht="12" x14ac:dyDescent="0.2">
      <c r="C69" s="17" t="s">
        <v>25</v>
      </c>
      <c r="D69" s="18">
        <v>1850</v>
      </c>
      <c r="E69" s="18">
        <v>10161850</v>
      </c>
      <c r="F69" s="19" t="s">
        <v>45</v>
      </c>
      <c r="G69" s="17" t="s">
        <v>46</v>
      </c>
      <c r="H69" s="17" t="s">
        <v>47</v>
      </c>
      <c r="I69" s="17" t="s">
        <v>23</v>
      </c>
      <c r="J69" s="20">
        <v>45507</v>
      </c>
      <c r="K69" s="21">
        <v>0.625</v>
      </c>
      <c r="L69" s="22">
        <v>60.290459000000006</v>
      </c>
      <c r="M69" s="23">
        <v>3601</v>
      </c>
      <c r="N69" s="22">
        <v>13.809177999999999</v>
      </c>
      <c r="O69" s="27">
        <v>1.0048409833333334</v>
      </c>
      <c r="P69" s="27">
        <v>0.55236711999999999</v>
      </c>
      <c r="Q69" s="20">
        <v>45513.25</v>
      </c>
      <c r="R69" s="21">
        <v>0.25</v>
      </c>
      <c r="S69" s="25"/>
      <c r="T69" s="25" t="s">
        <v>104</v>
      </c>
      <c r="U69" s="17" t="s">
        <v>104</v>
      </c>
    </row>
    <row r="70" spans="3:21" ht="12" x14ac:dyDescent="0.2">
      <c r="C70" s="7" t="s">
        <v>25</v>
      </c>
      <c r="D70" s="8">
        <v>370</v>
      </c>
      <c r="E70" s="8">
        <v>10161822</v>
      </c>
      <c r="F70" s="9" t="s">
        <v>58</v>
      </c>
      <c r="G70" s="7" t="s">
        <v>21</v>
      </c>
      <c r="H70" s="7" t="s">
        <v>22</v>
      </c>
      <c r="I70" s="7" t="s">
        <v>24</v>
      </c>
      <c r="J70" s="10">
        <v>45507</v>
      </c>
      <c r="K70" s="11">
        <v>0.66666666666666663</v>
      </c>
      <c r="L70" s="12">
        <v>47.108567000000015</v>
      </c>
      <c r="M70" s="13">
        <v>1819</v>
      </c>
      <c r="N70" s="12">
        <v>11.188833000000001</v>
      </c>
      <c r="O70" s="14">
        <v>0.96139932653061255</v>
      </c>
      <c r="P70" s="14">
        <v>0.46620137500000003</v>
      </c>
      <c r="Q70" s="10">
        <v>45507.875</v>
      </c>
      <c r="R70" s="11">
        <v>0.875</v>
      </c>
      <c r="S70" s="15" t="s">
        <v>24</v>
      </c>
      <c r="T70" s="7"/>
      <c r="U70" s="17"/>
    </row>
    <row r="71" spans="3:21" ht="12" x14ac:dyDescent="0.2">
      <c r="C71" s="7" t="s">
        <v>25</v>
      </c>
      <c r="D71" s="8">
        <v>362</v>
      </c>
      <c r="E71" s="8">
        <v>10161814</v>
      </c>
      <c r="F71" s="9" t="s">
        <v>65</v>
      </c>
      <c r="G71" s="7" t="s">
        <v>21</v>
      </c>
      <c r="H71" s="7" t="s">
        <v>22</v>
      </c>
      <c r="I71" s="7" t="s">
        <v>24</v>
      </c>
      <c r="J71" s="10">
        <v>45507</v>
      </c>
      <c r="K71" s="11">
        <v>0.66666666666666663</v>
      </c>
      <c r="L71" s="12">
        <v>45.639879000000001</v>
      </c>
      <c r="M71" s="13">
        <v>1798.25</v>
      </c>
      <c r="N71" s="12">
        <v>21.428528000000007</v>
      </c>
      <c r="O71" s="14">
        <v>0.93142610204081633</v>
      </c>
      <c r="P71" s="14">
        <v>0.89285533333333367</v>
      </c>
      <c r="Q71" s="10">
        <v>45507.875</v>
      </c>
      <c r="R71" s="11">
        <v>0.875</v>
      </c>
      <c r="S71" s="15" t="s">
        <v>24</v>
      </c>
      <c r="T71" s="7"/>
      <c r="U71" s="17"/>
    </row>
    <row r="72" spans="3:21" ht="12" x14ac:dyDescent="0.2">
      <c r="C72" s="7" t="s">
        <v>25</v>
      </c>
      <c r="D72" s="8">
        <v>364</v>
      </c>
      <c r="E72" s="8">
        <v>10161816</v>
      </c>
      <c r="F72" s="9" t="s">
        <v>63</v>
      </c>
      <c r="G72" s="7" t="s">
        <v>51</v>
      </c>
      <c r="H72" s="7" t="s">
        <v>53</v>
      </c>
      <c r="I72" s="7" t="s">
        <v>24</v>
      </c>
      <c r="J72" s="10">
        <v>45507</v>
      </c>
      <c r="K72" s="11">
        <v>0.79166666666666663</v>
      </c>
      <c r="L72" s="12">
        <v>19.696214500000004</v>
      </c>
      <c r="M72" s="13">
        <v>1064.3611111111111</v>
      </c>
      <c r="N72" s="12">
        <v>7.4417216111111113</v>
      </c>
      <c r="O72" s="14">
        <v>0.75754671153846165</v>
      </c>
      <c r="P72" s="14">
        <v>0.59533772888888892</v>
      </c>
      <c r="Q72" s="10">
        <v>45509.458333333336</v>
      </c>
      <c r="R72" s="11">
        <v>0.45833333333333331</v>
      </c>
      <c r="S72" s="15" t="s">
        <v>24</v>
      </c>
      <c r="T72" s="7"/>
      <c r="U72" s="17"/>
    </row>
    <row r="73" spans="3:21" ht="12" x14ac:dyDescent="0.2">
      <c r="C73" s="7" t="s">
        <v>25</v>
      </c>
      <c r="D73" s="8">
        <v>361</v>
      </c>
      <c r="E73" s="8">
        <v>10161813</v>
      </c>
      <c r="F73" s="9" t="s">
        <v>66</v>
      </c>
      <c r="G73" s="7" t="s">
        <v>29</v>
      </c>
      <c r="H73" s="7" t="s">
        <v>47</v>
      </c>
      <c r="I73" s="7" t="s">
        <v>24</v>
      </c>
      <c r="J73" s="10">
        <v>45507</v>
      </c>
      <c r="K73" s="11">
        <v>0.875</v>
      </c>
      <c r="L73" s="12">
        <v>50.13339899999999</v>
      </c>
      <c r="M73" s="13">
        <v>604</v>
      </c>
      <c r="N73" s="12">
        <v>4.9668700000000019</v>
      </c>
      <c r="O73" s="14">
        <v>1.0231305918367344</v>
      </c>
      <c r="P73" s="14">
        <v>0.20695291666666674</v>
      </c>
      <c r="Q73" s="10">
        <v>45510.333333333336</v>
      </c>
      <c r="R73" s="11">
        <v>0.33333333333333331</v>
      </c>
      <c r="S73" s="15" t="s">
        <v>24</v>
      </c>
      <c r="T73" s="7"/>
      <c r="U73" s="17"/>
    </row>
    <row r="74" spans="3:21" ht="12" x14ac:dyDescent="0.2">
      <c r="C74" s="17" t="s">
        <v>36</v>
      </c>
      <c r="D74" s="18">
        <v>1845</v>
      </c>
      <c r="E74" s="18">
        <v>10161845</v>
      </c>
      <c r="F74" s="19" t="s">
        <v>107</v>
      </c>
      <c r="G74" s="17" t="s">
        <v>106</v>
      </c>
      <c r="H74" s="17" t="s">
        <v>47</v>
      </c>
      <c r="I74" s="17" t="s">
        <v>23</v>
      </c>
      <c r="J74" s="20">
        <v>45508</v>
      </c>
      <c r="K74" s="21">
        <v>0.91666666666666663</v>
      </c>
      <c r="L74" s="22">
        <v>48.700078000000019</v>
      </c>
      <c r="M74" s="23">
        <v>2078</v>
      </c>
      <c r="N74" s="22">
        <v>14.561422000000004</v>
      </c>
      <c r="O74" s="27">
        <v>0.74923196923076951</v>
      </c>
      <c r="P74" s="27">
        <v>0.48538073333333348</v>
      </c>
      <c r="Q74" s="20">
        <v>45514.25</v>
      </c>
      <c r="R74" s="21">
        <v>0.25</v>
      </c>
      <c r="S74" s="25"/>
      <c r="T74" s="25"/>
      <c r="U74" s="17"/>
    </row>
    <row r="75" spans="3:21" ht="12" x14ac:dyDescent="0.2">
      <c r="C75" s="17" t="s">
        <v>36</v>
      </c>
      <c r="D75" s="18">
        <v>1844</v>
      </c>
      <c r="E75" s="18">
        <v>10161844</v>
      </c>
      <c r="F75" s="19" t="s">
        <v>107</v>
      </c>
      <c r="G75" s="17" t="s">
        <v>106</v>
      </c>
      <c r="H75" s="17" t="s">
        <v>47</v>
      </c>
      <c r="I75" s="17" t="s">
        <v>23</v>
      </c>
      <c r="J75" s="20">
        <v>45508</v>
      </c>
      <c r="K75" s="21">
        <v>0.91666666666666663</v>
      </c>
      <c r="L75" s="22">
        <v>48.654745000000005</v>
      </c>
      <c r="M75" s="23">
        <v>2834</v>
      </c>
      <c r="N75" s="22">
        <v>14.632871000000003</v>
      </c>
      <c r="O75" s="27">
        <v>0.7485345384615385</v>
      </c>
      <c r="P75" s="27">
        <v>0.48776236666666678</v>
      </c>
      <c r="Q75" s="20">
        <v>45514.25</v>
      </c>
      <c r="R75" s="21">
        <v>0.25</v>
      </c>
      <c r="S75" s="25"/>
      <c r="T75" s="25"/>
      <c r="U75" s="17"/>
    </row>
    <row r="76" spans="3:21" ht="12" x14ac:dyDescent="0.2">
      <c r="C76" s="17" t="s">
        <v>36</v>
      </c>
      <c r="D76" s="18">
        <v>1848</v>
      </c>
      <c r="E76" s="18">
        <v>10161848</v>
      </c>
      <c r="F76" s="19" t="s">
        <v>102</v>
      </c>
      <c r="G76" s="17" t="s">
        <v>103</v>
      </c>
      <c r="H76" s="17" t="s">
        <v>47</v>
      </c>
      <c r="I76" s="17" t="s">
        <v>24</v>
      </c>
      <c r="J76" s="20">
        <v>45508</v>
      </c>
      <c r="K76" s="21">
        <v>0.95833333333333337</v>
      </c>
      <c r="L76" s="22">
        <v>64.650412000000003</v>
      </c>
      <c r="M76" s="23">
        <v>2406</v>
      </c>
      <c r="N76" s="22">
        <v>15.299330999999999</v>
      </c>
      <c r="O76" s="27">
        <v>0.99462172307692309</v>
      </c>
      <c r="P76" s="27">
        <v>0.63747212499999995</v>
      </c>
      <c r="Q76" s="20">
        <v>45511.25</v>
      </c>
      <c r="R76" s="21">
        <v>0.25</v>
      </c>
      <c r="S76" s="25"/>
      <c r="T76" s="25"/>
      <c r="U76" s="17"/>
    </row>
    <row r="77" spans="3:21" ht="12" x14ac:dyDescent="0.2">
      <c r="C77" s="17" t="s">
        <v>36</v>
      </c>
      <c r="D77" s="18">
        <v>1849</v>
      </c>
      <c r="E77" s="18">
        <v>10161849</v>
      </c>
      <c r="F77" s="19" t="s">
        <v>102</v>
      </c>
      <c r="G77" s="17" t="s">
        <v>103</v>
      </c>
      <c r="H77" s="17" t="s">
        <v>47</v>
      </c>
      <c r="I77" s="17" t="s">
        <v>23</v>
      </c>
      <c r="J77" s="20">
        <v>45509</v>
      </c>
      <c r="K77" s="21">
        <v>4.1666666666666664E-2</v>
      </c>
      <c r="L77" s="22">
        <v>71.344001000000006</v>
      </c>
      <c r="M77" s="23">
        <v>1310</v>
      </c>
      <c r="N77" s="22">
        <v>5.9562169999999988</v>
      </c>
      <c r="O77" s="27">
        <v>1.0976000153846155</v>
      </c>
      <c r="P77" s="27">
        <v>0.24817570833333327</v>
      </c>
      <c r="Q77" s="20">
        <v>45512.25</v>
      </c>
      <c r="R77" s="21">
        <v>0.25</v>
      </c>
      <c r="S77" s="25"/>
      <c r="T77" s="25"/>
      <c r="U77" s="17"/>
    </row>
  </sheetData>
  <conditionalFormatting sqref="O2:P77">
    <cfRule type="cellIs" dxfId="3" priority="1" operator="lessThan">
      <formula>0.8</formula>
    </cfRule>
    <cfRule type="cellIs" dxfId="2" priority="2" operator="between">
      <formula>0.8</formula>
      <formula>0.89</formula>
    </cfRule>
    <cfRule type="cellIs" dxfId="1" priority="3" operator="between">
      <formula>0.9</formula>
      <formula>1</formula>
    </cfRule>
    <cfRule type="cellIs" dxfId="0" priority="4" operator="greaterThan">
      <formula>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Programação</vt:lpstr>
    </vt:vector>
  </TitlesOfParts>
  <Company>Carrefour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KAIQUE FELIPE DOS REIS</dc:creator>
  <cp:lastModifiedBy>LUCAS CARLOS ROSENO DE ALMEIDA</cp:lastModifiedBy>
  <cp:lastPrinted>2024-08-02T17:34:40Z</cp:lastPrinted>
  <dcterms:created xsi:type="dcterms:W3CDTF">2024-08-02T17:32:59Z</dcterms:created>
  <dcterms:modified xsi:type="dcterms:W3CDTF">2024-08-02T20:07:42Z</dcterms:modified>
</cp:coreProperties>
</file>